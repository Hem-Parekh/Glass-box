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nee\Desktop\Financial Modelling\Financial Modelling Aug 26\"/>
    </mc:Choice>
  </mc:AlternateContent>
  <xr:revisionPtr revIDLastSave="0" documentId="13_ncr:1_{9E4CDE57-D8FF-4484-8D56-29E32FDAC43B}" xr6:coauthVersionLast="47" xr6:coauthVersionMax="47" xr10:uidLastSave="{00000000-0000-0000-0000-000000000000}"/>
  <bookViews>
    <workbookView xWindow="-108" yWindow="-108" windowWidth="23256" windowHeight="13896" activeTab="1" xr2:uid="{FBADDB11-B8C6-4DC0-9854-231449B6CE0C}"/>
  </bookViews>
  <sheets>
    <sheet name="Sample" sheetId="5" r:id="rId1"/>
    <sheet name="Sales" sheetId="6" r:id="rId2"/>
  </sheets>
  <definedNames>
    <definedName name="_xlnm.Print_Area" localSheetId="0">Sample!$A$1:$E$171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4" i="5" l="1"/>
  <c r="D45" i="5"/>
  <c r="H129" i="5"/>
  <c r="D24" i="5"/>
  <c r="G79" i="5"/>
  <c r="D37" i="5"/>
  <c r="D22" i="5"/>
  <c r="H134" i="5"/>
  <c r="G134" i="5"/>
  <c r="H133" i="5"/>
  <c r="G133" i="5"/>
  <c r="G129" i="5"/>
  <c r="D113" i="5"/>
  <c r="D50" i="5"/>
  <c r="H50" i="5"/>
  <c r="G50" i="5"/>
  <c r="D46" i="5"/>
  <c r="H46" i="5"/>
  <c r="G46" i="5"/>
  <c r="D40" i="5"/>
  <c r="D41" i="5" s="1"/>
  <c r="H40" i="5"/>
  <c r="G40" i="5"/>
  <c r="H45" i="5"/>
  <c r="G45" i="5"/>
  <c r="H27" i="5"/>
  <c r="G27" i="5"/>
  <c r="H22" i="5"/>
  <c r="G22" i="5"/>
  <c r="H21" i="5"/>
  <c r="G21" i="5"/>
  <c r="H20" i="5"/>
  <c r="G20" i="5"/>
  <c r="H19" i="5"/>
  <c r="G19" i="5"/>
  <c r="H17" i="5"/>
  <c r="G17" i="5"/>
  <c r="C136" i="5"/>
  <c r="B136" i="5"/>
  <c r="D11" i="5"/>
  <c r="D10" i="5"/>
  <c r="H11" i="5"/>
  <c r="G39" i="6"/>
  <c r="G37" i="6"/>
  <c r="G38" i="6" s="1"/>
  <c r="G40" i="6" s="1"/>
  <c r="G41" i="6" s="1"/>
  <c r="H11" i="6" s="1"/>
  <c r="M4" i="6"/>
  <c r="N4" i="6" s="1"/>
  <c r="M5" i="6"/>
  <c r="N5" i="6" s="1"/>
  <c r="M6" i="6"/>
  <c r="N6" i="6" s="1"/>
  <c r="M3" i="6"/>
  <c r="M7" i="6" s="1"/>
  <c r="L4" i="6"/>
  <c r="L7" i="6" s="1"/>
  <c r="C34" i="5"/>
  <c r="B34" i="5"/>
  <c r="H5" i="6"/>
  <c r="H4" i="6"/>
  <c r="C144" i="5"/>
  <c r="B144" i="5"/>
  <c r="C127" i="5"/>
  <c r="B127" i="5"/>
  <c r="C126" i="5"/>
  <c r="B126" i="5"/>
  <c r="C133" i="5"/>
  <c r="B133" i="5"/>
  <c r="C166" i="5"/>
  <c r="B165" i="5"/>
  <c r="B167" i="5"/>
  <c r="C165" i="5"/>
  <c r="B166" i="5"/>
  <c r="B164" i="5"/>
  <c r="C164" i="5"/>
  <c r="C168" i="5"/>
  <c r="B168" i="5"/>
  <c r="C151" i="5"/>
  <c r="B151" i="5"/>
  <c r="C150" i="5"/>
  <c r="B150" i="5"/>
  <c r="C149" i="5"/>
  <c r="C156" i="5"/>
  <c r="H24" i="5" s="1"/>
  <c r="B149" i="5"/>
  <c r="C153" i="5"/>
  <c r="B153" i="5"/>
  <c r="C152" i="5"/>
  <c r="B152" i="5"/>
  <c r="C89" i="5"/>
  <c r="B89" i="5"/>
  <c r="C87" i="5"/>
  <c r="B87" i="5"/>
  <c r="C79" i="5"/>
  <c r="C92" i="5"/>
  <c r="B79" i="5"/>
  <c r="C100" i="5"/>
  <c r="C104" i="5"/>
  <c r="B100" i="5"/>
  <c r="C99" i="5"/>
  <c r="B99" i="5"/>
  <c r="B104" i="5"/>
  <c r="C103" i="5"/>
  <c r="B103" i="5"/>
  <c r="C113" i="5"/>
  <c r="C116" i="5"/>
  <c r="C49" i="5"/>
  <c r="B56" i="5"/>
  <c r="B58" i="5"/>
  <c r="B49" i="5"/>
  <c r="C57" i="5"/>
  <c r="C50" i="5"/>
  <c r="B57" i="5"/>
  <c r="B48" i="5"/>
  <c r="C48" i="5"/>
  <c r="C22" i="5"/>
  <c r="C37" i="5"/>
  <c r="H37" i="5" s="1"/>
  <c r="B22" i="5"/>
  <c r="B28" i="5"/>
  <c r="B31" i="5" s="1"/>
  <c r="C27" i="5"/>
  <c r="B27" i="5"/>
  <c r="C46" i="5"/>
  <c r="C45" i="5"/>
  <c r="C51" i="5"/>
  <c r="B45" i="5"/>
  <c r="B51" i="5"/>
  <c r="I4" i="6"/>
  <c r="I6" i="6"/>
  <c r="I3" i="6"/>
  <c r="C11" i="5"/>
  <c r="C10" i="5"/>
  <c r="C41" i="5"/>
  <c r="B11" i="5"/>
  <c r="G11" i="5"/>
  <c r="B92" i="5"/>
  <c r="D7" i="6"/>
  <c r="C7" i="6"/>
  <c r="B7" i="6"/>
  <c r="F6" i="6"/>
  <c r="F5" i="6"/>
  <c r="G4" i="6"/>
  <c r="G7" i="6"/>
  <c r="J7" i="6" s="1"/>
  <c r="J3" i="6"/>
  <c r="E4" i="6"/>
  <c r="F4" i="6" s="1"/>
  <c r="E7" i="6"/>
  <c r="F7" i="6" s="1"/>
  <c r="F3" i="6"/>
  <c r="E167" i="5"/>
  <c r="E156" i="5"/>
  <c r="E136" i="5"/>
  <c r="E135" i="5"/>
  <c r="E132" i="5" s="1"/>
  <c r="E128" i="5"/>
  <c r="E123" i="5"/>
  <c r="E122" i="5"/>
  <c r="E116" i="5"/>
  <c r="E104" i="5"/>
  <c r="E92" i="5"/>
  <c r="E77" i="5"/>
  <c r="E72" i="5"/>
  <c r="E71" i="5"/>
  <c r="E58" i="5"/>
  <c r="E51" i="5"/>
  <c r="E33" i="5"/>
  <c r="E29" i="5"/>
  <c r="E28" i="5"/>
  <c r="E10" i="5"/>
  <c r="E12" i="5"/>
  <c r="D167" i="5"/>
  <c r="D156" i="5"/>
  <c r="D136" i="5"/>
  <c r="D135" i="5"/>
  <c r="D123" i="5"/>
  <c r="D122" i="5"/>
  <c r="D104" i="5"/>
  <c r="D77" i="5"/>
  <c r="D72" i="5"/>
  <c r="D71" i="5"/>
  <c r="D58" i="5"/>
  <c r="D29" i="5"/>
  <c r="C167" i="5"/>
  <c r="C135" i="5"/>
  <c r="C132" i="5" s="1"/>
  <c r="B135" i="5"/>
  <c r="B132" i="5" s="1"/>
  <c r="B147" i="5"/>
  <c r="B169" i="5" s="1"/>
  <c r="C128" i="5"/>
  <c r="B128" i="5"/>
  <c r="C123" i="5"/>
  <c r="B123" i="5"/>
  <c r="C122" i="5"/>
  <c r="B122" i="5"/>
  <c r="B116" i="5"/>
  <c r="C77" i="5"/>
  <c r="B77" i="5"/>
  <c r="C72" i="5"/>
  <c r="B72" i="5"/>
  <c r="C71" i="5"/>
  <c r="B71" i="5"/>
  <c r="C58" i="5"/>
  <c r="C29" i="5"/>
  <c r="B156" i="5"/>
  <c r="G24" i="5"/>
  <c r="E13" i="5"/>
  <c r="D13" i="5"/>
  <c r="E41" i="5"/>
  <c r="J6" i="6"/>
  <c r="J5" i="6"/>
  <c r="I5" i="6"/>
  <c r="B13" i="5"/>
  <c r="C13" i="5"/>
  <c r="B37" i="5"/>
  <c r="G37" i="5"/>
  <c r="C28" i="5"/>
  <c r="B10" i="5"/>
  <c r="B41" i="5"/>
  <c r="D33" i="5"/>
  <c r="D19" i="5"/>
  <c r="D129" i="5"/>
  <c r="D128" i="5"/>
  <c r="D17" i="5"/>
  <c r="D27" i="5"/>
  <c r="D21" i="5"/>
  <c r="D20" i="5"/>
  <c r="D134" i="5"/>
  <c r="D133" i="5"/>
  <c r="N3" i="6" l="1"/>
  <c r="H7" i="6"/>
  <c r="J4" i="6"/>
  <c r="E31" i="5"/>
  <c r="E32" i="5" s="1"/>
  <c r="D51" i="5"/>
  <c r="E147" i="5"/>
  <c r="E169" i="5" s="1"/>
  <c r="B35" i="5"/>
  <c r="B32" i="5"/>
  <c r="D28" i="5"/>
  <c r="D31" i="5" s="1"/>
  <c r="D32" i="5" s="1"/>
  <c r="G132" i="5"/>
  <c r="C147" i="5"/>
  <c r="C169" i="5" s="1"/>
  <c r="D132" i="5"/>
  <c r="C31" i="5"/>
  <c r="C32" i="5" s="1"/>
  <c r="B36" i="5"/>
  <c r="B38" i="5"/>
  <c r="B42" i="5" s="1"/>
  <c r="B43" i="5" s="1"/>
  <c r="D147" i="5"/>
  <c r="D169" i="5" s="1"/>
  <c r="E93" i="5"/>
  <c r="E118" i="5" s="1"/>
  <c r="B93" i="5"/>
  <c r="B118" i="5" s="1"/>
  <c r="B171" i="5" s="1"/>
  <c r="C93" i="5"/>
  <c r="C118" i="5" s="1"/>
  <c r="H12" i="6" l="1"/>
  <c r="G11" i="6"/>
  <c r="M8" i="6"/>
  <c r="Q7" i="6"/>
  <c r="G13" i="6"/>
  <c r="K7" i="6"/>
  <c r="O7" i="6"/>
  <c r="K6" i="6"/>
  <c r="K5" i="6"/>
  <c r="I7" i="6"/>
  <c r="K3" i="6"/>
  <c r="K4" i="6"/>
  <c r="N7" i="6"/>
  <c r="H10" i="6" s="1"/>
  <c r="D35" i="5"/>
  <c r="D79" i="5" s="1"/>
  <c r="D92" i="5" s="1"/>
  <c r="D93" i="5" s="1"/>
  <c r="E35" i="5"/>
  <c r="E171" i="5"/>
  <c r="C35" i="5"/>
  <c r="H79" i="5" s="1"/>
  <c r="C117" i="5"/>
  <c r="C171" i="5"/>
  <c r="B39" i="5"/>
  <c r="B59" i="5"/>
  <c r="B62" i="5" s="1"/>
  <c r="C38" i="5"/>
  <c r="C36" i="5"/>
  <c r="H132" i="5"/>
  <c r="B117" i="5"/>
  <c r="E117" i="5"/>
  <c r="D36" i="5" l="1"/>
  <c r="I132" i="5"/>
  <c r="D38" i="5"/>
  <c r="D42" i="5" s="1"/>
  <c r="D43" i="5" s="1"/>
  <c r="E36" i="5"/>
  <c r="E38" i="5"/>
  <c r="G61" i="5"/>
  <c r="G60" i="5"/>
  <c r="C42" i="5"/>
  <c r="C39" i="5"/>
  <c r="B66" i="5"/>
  <c r="B63" i="5"/>
  <c r="B65" i="5"/>
  <c r="D59" i="5" l="1"/>
  <c r="D61" i="5" s="1"/>
  <c r="D39" i="5"/>
  <c r="E39" i="5"/>
  <c r="E42" i="5"/>
  <c r="C59" i="5"/>
  <c r="C43" i="5"/>
  <c r="D60" i="5" l="1"/>
  <c r="D62" i="5" s="1"/>
  <c r="D63" i="5" s="1"/>
  <c r="E59" i="5"/>
  <c r="E62" i="5" s="1"/>
  <c r="E43" i="5"/>
  <c r="H60" i="5"/>
  <c r="C62" i="5"/>
  <c r="H61" i="5"/>
  <c r="D64" i="5" l="1"/>
  <c r="D65" i="5" s="1"/>
  <c r="E66" i="5"/>
  <c r="E63" i="5"/>
  <c r="E65" i="5"/>
  <c r="C65" i="5"/>
  <c r="C63" i="5"/>
  <c r="C66" i="5"/>
  <c r="D66" i="5" l="1"/>
  <c r="D110" i="5" s="1"/>
  <c r="D116" i="5" s="1"/>
  <c r="D117" i="5" s="1"/>
  <c r="D118" i="5" l="1"/>
  <c r="D171" i="5" s="1"/>
</calcChain>
</file>

<file path=xl/sharedStrings.xml><?xml version="1.0" encoding="utf-8"?>
<sst xmlns="http://schemas.openxmlformats.org/spreadsheetml/2006/main" count="223" uniqueCount="196">
  <si>
    <t>(Rs. crore)</t>
  </si>
  <si>
    <t>DETAILS</t>
  </si>
  <si>
    <t>Estimated</t>
  </si>
  <si>
    <t xml:space="preserve"> </t>
  </si>
  <si>
    <t xml:space="preserve"> I. PROFIT AND LOSS ACCOUNT:</t>
  </si>
  <si>
    <t xml:space="preserve">   SALES:</t>
  </si>
  <si>
    <t xml:space="preserve">   (i)  Domestic Sales</t>
  </si>
  <si>
    <t xml:space="preserve">   (ii) Export Sales</t>
  </si>
  <si>
    <t xml:space="preserve">  GROSS SALES:</t>
  </si>
  <si>
    <t xml:space="preserve">  ADD: Other Operating Income</t>
  </si>
  <si>
    <t xml:space="preserve">  NET SALES:</t>
  </si>
  <si>
    <t xml:space="preserve">  Increase in Net Sales (%)</t>
  </si>
  <si>
    <t xml:space="preserve">  COST OF SALES:</t>
  </si>
  <si>
    <t xml:space="preserve">   (i) Raw materials</t>
  </si>
  <si>
    <t xml:space="preserve">         A. Imported</t>
  </si>
  <si>
    <t xml:space="preserve">         B. Indigenous</t>
  </si>
  <si>
    <t xml:space="preserve">   (ii) Other Spares</t>
  </si>
  <si>
    <t xml:space="preserve">   (iii)   Power &amp; Fuel</t>
  </si>
  <si>
    <t xml:space="preserve">   (iv)  Direct Labour</t>
  </si>
  <si>
    <t xml:space="preserve">   (vi)  Depreciation]</t>
  </si>
  <si>
    <t xml:space="preserve">   (vii) Repairs &amp; Maintenance</t>
  </si>
  <si>
    <t xml:space="preserve">   ADD: Opening Stock in Process</t>
  </si>
  <si>
    <t xml:space="preserve">   DEDUCT: Closing Stock in Process</t>
  </si>
  <si>
    <t xml:space="preserve">   COST OF PRODUCTION:</t>
  </si>
  <si>
    <t xml:space="preserve">   C O P as % of Gross Sales</t>
  </si>
  <si>
    <t xml:space="preserve">   ADD: OP Stock  of Finished Goods</t>
  </si>
  <si>
    <t xml:space="preserve">   DEDUCT: CL Stock of Finished Goods</t>
  </si>
  <si>
    <t xml:space="preserve">  Cost of Sales as % of Gross Sales</t>
  </si>
  <si>
    <t xml:space="preserve">   Selling, General &amp; Admn. Expenses </t>
  </si>
  <si>
    <t xml:space="preserve">   PROFIT BEFORE INTEREST &amp; TAX (PBIT)</t>
  </si>
  <si>
    <t xml:space="preserve">   PBIT as % of Gross Sales</t>
  </si>
  <si>
    <t xml:space="preserve">   Interest &amp; Other Financial Charges </t>
  </si>
  <si>
    <t xml:space="preserve">   OPERATING PROFIT BEFORE TAX (PBT)</t>
  </si>
  <si>
    <t xml:space="preserve">   PBT as % of Gross Sales</t>
  </si>
  <si>
    <t xml:space="preserve">   ADD: Other Nonoperative Income</t>
  </si>
  <si>
    <t xml:space="preserve">    (iii) Exchange Prov Written Back</t>
  </si>
  <si>
    <t xml:space="preserve">    SUB-TOTAL (INCOME)</t>
  </si>
  <si>
    <t xml:space="preserve">    Deduct Other Non-operating Exp.</t>
  </si>
  <si>
    <t xml:space="preserve">    (i)  Loss on Invst</t>
  </si>
  <si>
    <t xml:space="preserve">    (ii) Loss on Forex</t>
  </si>
  <si>
    <t xml:space="preserve">    (iii) Loss on Sale of Fixed Assets</t>
  </si>
  <si>
    <t xml:space="preserve">    (v) Miscls Expenses Written Off</t>
  </si>
  <si>
    <t xml:space="preserve">    SUB-TOTAL (EXPENSES)</t>
  </si>
  <si>
    <t xml:space="preserve">    PROFIT BEFORE TAX / LOSS</t>
  </si>
  <si>
    <t xml:space="preserve">    NET PROFIT/LOSS (PAT)</t>
  </si>
  <si>
    <t xml:space="preserve">    PAT as % of Gross Sales </t>
  </si>
  <si>
    <t xml:space="preserve">    Equity/Pref. Dividend Paid (i) Amt </t>
  </si>
  <si>
    <t xml:space="preserve">                                             (ii) Rate</t>
  </si>
  <si>
    <t xml:space="preserve">   RETAINED PROFIT</t>
  </si>
  <si>
    <r>
      <t xml:space="preserve">  </t>
    </r>
    <r>
      <rPr>
        <b/>
        <u/>
        <sz val="9"/>
        <color indexed="8"/>
        <rFont val="Arial CYR"/>
        <family val="2"/>
        <charset val="204"/>
      </rPr>
      <t>II.  BALANCE SHEET</t>
    </r>
  </si>
  <si>
    <t xml:space="preserve">   LIABILITIES:</t>
  </si>
  <si>
    <t xml:space="preserve">   CURRENT LIABILITIES:</t>
  </si>
  <si>
    <t xml:space="preserve">  Short Term borrowings from banks       (including bill purchased/discounted)</t>
  </si>
  <si>
    <t xml:space="preserve">   (i) from applicant bank</t>
  </si>
  <si>
    <t xml:space="preserve">   (ii) from other banks</t>
  </si>
  <si>
    <t xml:space="preserve">   (iii) (of which Bill purchased &amp; disc.)</t>
  </si>
  <si>
    <t xml:space="preserve">   SUB-TOTAL                     </t>
  </si>
  <si>
    <t xml:space="preserve">   Short Term Borrowings from others</t>
  </si>
  <si>
    <t xml:space="preserve">    Sundry Creditors (Trade)</t>
  </si>
  <si>
    <t xml:space="preserve">    Adv payment fm cust / dep fm dealers</t>
  </si>
  <si>
    <t xml:space="preserve">    Dividend payable</t>
  </si>
  <si>
    <t xml:space="preserve">    Other Statutory Liabilities                                                                           (Due within One Year)</t>
  </si>
  <si>
    <t xml:space="preserve">    Instalments of Term loans / Debentures /                     .   DPGs / deposits  etc. (due within 1 year)</t>
  </si>
  <si>
    <t xml:space="preserve">      Interest accrued bot not due</t>
  </si>
  <si>
    <t xml:space="preserve">      Security Dep- Suppliers and Contractors</t>
  </si>
  <si>
    <t xml:space="preserve">      Other Current Liabilities</t>
  </si>
  <si>
    <t xml:space="preserve">    SUB-TOTAL</t>
  </si>
  <si>
    <t xml:space="preserve">    TOTAL CURRENT LIABILITIES</t>
  </si>
  <si>
    <t xml:space="preserve">    TERM LIABILITIES</t>
  </si>
  <si>
    <t xml:space="preserve">    Debentures (not maturing within 1 year)</t>
  </si>
  <si>
    <t xml:space="preserve">    Pref. Shares (redeemable after 1 Yr)</t>
  </si>
  <si>
    <t xml:space="preserve">   Term Loans( Excl instl payable within 1 Yr)</t>
  </si>
  <si>
    <t xml:space="preserve">  TOTAL TERM LIABILITIES</t>
  </si>
  <si>
    <t xml:space="preserve">    </t>
  </si>
  <si>
    <t xml:space="preserve">  Ordinary share capital</t>
  </si>
  <si>
    <t xml:space="preserve">   Preference Share Capital</t>
  </si>
  <si>
    <t xml:space="preserve">   General reserve</t>
  </si>
  <si>
    <t xml:space="preserve">   Capital Reserve</t>
  </si>
  <si>
    <t xml:space="preserve">   Surplus(+) or deficit (-) in P &amp; L Account</t>
  </si>
  <si>
    <t xml:space="preserve">   Share Application Money</t>
  </si>
  <si>
    <t xml:space="preserve">   Security Premium</t>
  </si>
  <si>
    <t xml:space="preserve">   Capital redemption reserve</t>
  </si>
  <si>
    <t xml:space="preserve">  NET WORTH</t>
  </si>
  <si>
    <t xml:space="preserve"> TOTAL LIABILITIES</t>
  </si>
  <si>
    <t xml:space="preserve">    ASSETS:</t>
  </si>
  <si>
    <t xml:space="preserve">    CURRENT ASSETS</t>
  </si>
  <si>
    <t xml:space="preserve">     Cash and Bank Balances</t>
  </si>
  <si>
    <t xml:space="preserve">     Investments (Other than Long Term)</t>
  </si>
  <si>
    <t xml:space="preserve">     (i) Govt. &amp; other securities</t>
  </si>
  <si>
    <t xml:space="preserve">     (ii) Fixed deposits with banks</t>
  </si>
  <si>
    <t xml:space="preserve">    RECEIVABLES</t>
  </si>
  <si>
    <t xml:space="preserve">    Domestic Sales</t>
  </si>
  <si>
    <t xml:space="preserve">    Export Recv( Incl. B/P&amp;  Disc by banks)</t>
  </si>
  <si>
    <t xml:space="preserve">   INVENTORY</t>
  </si>
  <si>
    <t xml:space="preserve">     Raw Material - Indigenous</t>
  </si>
  <si>
    <t xml:space="preserve">     Stock in process</t>
  </si>
  <si>
    <t xml:space="preserve">     Finished Goods</t>
  </si>
  <si>
    <t xml:space="preserve">     Goods in Transit                         </t>
  </si>
  <si>
    <t xml:space="preserve">     Cl Stock of Traded goods</t>
  </si>
  <si>
    <t xml:space="preserve">     Stores &amp; Spares</t>
  </si>
  <si>
    <t xml:space="preserve">     Advance to suppliers of raw material</t>
  </si>
  <si>
    <t xml:space="preserve">   Other Current Assets:</t>
  </si>
  <si>
    <t xml:space="preserve">     (i) Deposits</t>
  </si>
  <si>
    <t xml:space="preserve">     (ii) Duties &amp; Taxes paid in Advance</t>
  </si>
  <si>
    <t xml:space="preserve">    (iii) Others</t>
  </si>
  <si>
    <t xml:space="preserve">    (iv) Loans and Advnces</t>
  </si>
  <si>
    <t xml:space="preserve">    (iv) Interest Accrued on Invest &amp; Deposits</t>
  </si>
  <si>
    <t xml:space="preserve">   TOTAL CURRENT ASSETS</t>
  </si>
  <si>
    <t xml:space="preserve">   FIXED ASSETS</t>
  </si>
  <si>
    <t xml:space="preserve">    (ii)   Building</t>
  </si>
  <si>
    <t xml:space="preserve">    (iii)   Plant &amp; Machinery</t>
  </si>
  <si>
    <t xml:space="preserve">    (iv) Furnitures &amp; Fixtures</t>
  </si>
  <si>
    <t xml:space="preserve">   NET BLOCK</t>
  </si>
  <si>
    <t xml:space="preserve">   OTHER NON CURRENT ASSETS</t>
  </si>
  <si>
    <t xml:space="preserve">    (i) Investments in Subsidiary companies/                      .   Affiliates </t>
  </si>
  <si>
    <t xml:space="preserve">    (ii) Other Investments</t>
  </si>
  <si>
    <t xml:space="preserve">   (iii) Adv to supplof Cap Goods/Contractors</t>
  </si>
  <si>
    <t xml:space="preserve">   (v) Margin money kept with banks.</t>
  </si>
  <si>
    <t xml:space="preserve">  (vi) Debtors exceedings 6 months</t>
  </si>
  <si>
    <t xml:space="preserve">  (vii) Short Term Deposits with Bodies Corporate</t>
  </si>
  <si>
    <t xml:space="preserve">   (ix) Other Non current assets incl. dues                                         from  directors</t>
  </si>
  <si>
    <t xml:space="preserve">  TOTAL OTHER NON CURRENT ASSETS</t>
  </si>
  <si>
    <t xml:space="preserve">   Intangible Assets (patents, goodwill,                      prelim. expenses, bad/doubtfull expenses not provided for)</t>
  </si>
  <si>
    <t xml:space="preserve">  TOTAL ASSETS</t>
  </si>
  <si>
    <t xml:space="preserve">   Total Liabilities - Total Assets</t>
  </si>
  <si>
    <t xml:space="preserve">    (vi)Other Income</t>
  </si>
  <si>
    <t xml:space="preserve">   (v) Cost of services</t>
  </si>
  <si>
    <t xml:space="preserve">   (ix) Other Expenses</t>
  </si>
  <si>
    <t xml:space="preserve">   (viii) Works Contract Tax</t>
  </si>
  <si>
    <t xml:space="preserve">   (iv) Deferred Tax assets</t>
  </si>
  <si>
    <t xml:space="preserve">   ESOP outstanding</t>
  </si>
  <si>
    <t xml:space="preserve">   Other Reserves</t>
  </si>
  <si>
    <t xml:space="preserve">   Others</t>
  </si>
  <si>
    <t xml:space="preserve">      Provision for Employee Benefits</t>
  </si>
  <si>
    <t xml:space="preserve">    (i)    Interest </t>
  </si>
  <si>
    <t xml:space="preserve">    (ii)   Dividend</t>
  </si>
  <si>
    <t xml:space="preserve">         A. Stock in Trade</t>
  </si>
  <si>
    <t xml:space="preserve">         B. Packing Material</t>
  </si>
  <si>
    <t xml:space="preserve">   Leased Liablities</t>
  </si>
  <si>
    <r>
      <t xml:space="preserve">    Lease Liablities</t>
    </r>
    <r>
      <rPr>
        <b/>
        <sz val="8.5"/>
        <color indexed="8"/>
        <rFont val="Arial CYR"/>
        <family val="2"/>
        <charset val="204"/>
      </rPr>
      <t xml:space="preserve"> </t>
    </r>
    <r>
      <rPr>
        <sz val="8.5"/>
        <color indexed="8"/>
        <rFont val="Arial CYR"/>
        <family val="2"/>
        <charset val="204"/>
      </rPr>
      <t>(due within 1 year)</t>
    </r>
  </si>
  <si>
    <t xml:space="preserve">    Deferred Tax Liability &amp; Other Tax Liabilities</t>
  </si>
  <si>
    <t xml:space="preserve">     (I) Land</t>
  </si>
  <si>
    <t xml:space="preserve">    (v)  Office Equiment</t>
  </si>
  <si>
    <t xml:space="preserve">    (vi) Vehicles</t>
  </si>
  <si>
    <t xml:space="preserve">   (vii) Capital Works in progress</t>
  </si>
  <si>
    <t>Actuals</t>
  </si>
  <si>
    <t xml:space="preserve">   COST OF MANUFACTURING</t>
  </si>
  <si>
    <t>COST OF SALES:</t>
  </si>
  <si>
    <t xml:space="preserve">   Intt. &amp; Fin. Charges as % of Gross Sales </t>
  </si>
  <si>
    <t xml:space="preserve">       Current Tax</t>
  </si>
  <si>
    <t xml:space="preserve">       Deferred Tax</t>
  </si>
  <si>
    <t>Projections</t>
  </si>
  <si>
    <t>Rs.cr.</t>
  </si>
  <si>
    <t>Incr ovr PY (23-24)</t>
  </si>
  <si>
    <t>Dept wise contrbn</t>
  </si>
  <si>
    <t>HOME CARE</t>
  </si>
  <si>
    <t>BEAUTY</t>
  </si>
  <si>
    <t>FOOD</t>
  </si>
  <si>
    <t>OTHERS</t>
  </si>
  <si>
    <t>TOTAL</t>
  </si>
  <si>
    <t>CAGR</t>
  </si>
  <si>
    <t>n</t>
  </si>
  <si>
    <t>1/n</t>
  </si>
  <si>
    <t>end/beg</t>
  </si>
  <si>
    <t>(e/b)^(1/n)</t>
  </si>
  <si>
    <t>(e/b)^(1/n) - 1</t>
  </si>
  <si>
    <t>Incr ovr PY (24-25)</t>
  </si>
  <si>
    <t xml:space="preserve">    Provision for Taxation        </t>
  </si>
  <si>
    <t xml:space="preserve">    (iv)  Profit on sale of assets / business</t>
  </si>
  <si>
    <t xml:space="preserve">    (iv) Exceptional Items / Loss from Discontinued Ops</t>
  </si>
  <si>
    <t xml:space="preserve">    (v) Exceptional Items / Profit from Discontinued Ops</t>
  </si>
  <si>
    <t xml:space="preserve">  (viii) Loans &amp; Advances</t>
  </si>
  <si>
    <t xml:space="preserve">     Packing Materials</t>
  </si>
  <si>
    <t>Qtr - Jun 26</t>
  </si>
  <si>
    <t>Extrapolated for FY27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</si>
  <si>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</si>
  <si>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</si>
  <si>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</si>
  <si>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</si>
  <si>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</si>
  <si>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</si>
  <si>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</si>
  <si>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</si>
  <si>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</si>
  <si>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</si>
  <si>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</si>
  <si>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1/No of Years</t>
  </si>
  <si>
    <t>No of Years</t>
  </si>
  <si>
    <t>Ending / Beginning</t>
  </si>
  <si>
    <t>RS. Cr</t>
  </si>
  <si>
    <t>Incr ovr PY (25-26)</t>
  </si>
  <si>
    <t>Assumed Growth Rate</t>
  </si>
  <si>
    <t>other BROKER REPORTS</t>
  </si>
  <si>
    <t>AS PER CO</t>
  </si>
  <si>
    <t>OPTIONS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</si>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</sst>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[$₹-4009]\ * #,##0.00_ ;_ [$₹-4009]\ * \-#,##0.00_ ;_ [$₹-4009]\ * &quot;-&quot;??_ ;_ @_ "/>
    <numFmt numFmtId="167" formatCode="_ [$₹-4009]\ * #,##0_ ;_ [$₹-4009]\ * \-#,##0_ ;_ [$₹-4009]\ * &quot;-&quot;??_ ;_ @_ "/>
    <numFmt numFmtId="168" formatCode="0.0%"/>
    <numFmt numFmtId="169" formatCode="_(* #,##0_);_(* \(#,##0\);_(* &quot;-&quot;??_);_(@_)"/>
    <numFmt numFmtId="171" formatCode="_-[$$-409]* #,##0.00_ ;_-[$$-409]* \-#,##0.00\ ;_-[$$-409]* &quot;-&quot;??_ ;_-@_ "/>
    <numFmt numFmtId="172" formatCode="_-[$$-409]* #,##0_ ;_-[$$-409]* \-#,##0\ ;_-[$$-409]* &quot;-&quot;??_ ;_-@_ "/>
    <numFmt numFmtId="173" formatCode="_ * #,##0_ ;_ * \-#,##0_ ;_ * &quot;-&quot;??_ ;_ @_ "/>
  </numFmts>
  <fonts count="25">
    <font>
      <sz val="10"/>
      <name val="Arial"/>
    </font>
    <font>
      <sz val="10"/>
      <name val="Arial"/>
    </font>
    <font>
      <b/>
      <u/>
      <sz val="12"/>
      <name val="Times New Roman"/>
      <family val="1"/>
    </font>
    <font>
      <sz val="8.5"/>
      <name val="Arial CYR"/>
      <family val="2"/>
      <charset val="204"/>
    </font>
    <font>
      <sz val="8.5"/>
      <color indexed="8"/>
      <name val="Arial CYR"/>
      <family val="2"/>
      <charset val="204"/>
    </font>
    <font>
      <b/>
      <sz val="8.5"/>
      <color indexed="8"/>
      <name val="Arial CYR"/>
      <family val="2"/>
      <charset val="204"/>
    </font>
    <font>
      <b/>
      <u/>
      <sz val="8.5"/>
      <color indexed="8"/>
      <name val="Arial CYR"/>
      <family val="2"/>
      <charset val="204"/>
    </font>
    <font>
      <sz val="8.5"/>
      <color indexed="40"/>
      <name val="Arial CYR"/>
      <family val="2"/>
      <charset val="204"/>
    </font>
    <font>
      <b/>
      <sz val="9"/>
      <color indexed="8"/>
      <name val="Arial CYR"/>
      <family val="2"/>
      <charset val="204"/>
    </font>
    <font>
      <b/>
      <u/>
      <sz val="9"/>
      <color indexed="8"/>
      <name val="Arial CYR"/>
      <family val="2"/>
      <charset val="204"/>
    </font>
    <font>
      <sz val="10"/>
      <name val="Arial"/>
      <family val="2"/>
    </font>
    <font>
      <b/>
      <sz val="8.5"/>
      <color indexed="8"/>
      <name val="Arial CYR"/>
    </font>
    <font>
      <sz val="10"/>
      <color indexed="8"/>
      <name val="Arial CYR"/>
      <family val="2"/>
      <charset val="204"/>
    </font>
    <font>
      <i/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.5"/>
      <color indexed="8"/>
      <name val="Arial CYR"/>
    </font>
    <font>
      <sz val="8"/>
      <name val="Arial"/>
      <family val="2"/>
    </font>
    <font>
      <b/>
      <sz val="8.5"/>
      <color theme="0"/>
      <name val="Arial CYR"/>
      <family val="2"/>
      <charset val="204"/>
    </font>
    <font>
      <sz val="8.5"/>
      <color theme="0"/>
      <name val="Arial CYR"/>
      <family val="2"/>
      <charset val="204"/>
    </font>
    <font>
      <b/>
      <sz val="10"/>
      <color theme="0"/>
      <name val="Arial CYR"/>
      <family val="2"/>
      <charset val="204"/>
    </font>
    <font>
      <b/>
      <sz val="10"/>
      <color rgb="FFFF000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8.5"/>
      <color rgb="FFFF0000"/>
      <name val="Arial CYR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indexed="55"/>
        <bgColor indexed="16"/>
      </patternFill>
    </fill>
    <fill>
      <patternFill patternType="solid">
        <fgColor indexed="44"/>
        <bgColor indexed="16"/>
      </patternFill>
    </fill>
    <fill>
      <patternFill patternType="solid">
        <fgColor indexed="9"/>
        <b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9"/>
      </patternFill>
    </fill>
    <fill>
      <patternFill patternType="solid">
        <fgColor indexed="55"/>
        <bgColor indexed="1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indexed="1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indexed="12"/>
      </patternFill>
    </fill>
    <fill>
      <patternFill patternType="solid">
        <fgColor rgb="FFC00000"/>
        <bgColor indexed="12"/>
      </patternFill>
    </fill>
    <fill>
      <patternFill patternType="solid">
        <fgColor theme="3" tint="0.59999389629810485"/>
        <bgColor indexed="16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4" fontId="5" fillId="0" borderId="0" xfId="0" applyNumberFormat="1" applyFont="1" applyProtection="1">
      <protection locked="0"/>
    </xf>
    <xf numFmtId="0" fontId="5" fillId="2" borderId="1" xfId="0" applyFont="1" applyFill="1" applyBorder="1" applyAlignment="1" applyProtection="1">
      <alignment horizontal="center" wrapText="1"/>
      <protection locked="0"/>
    </xf>
    <xf numFmtId="0" fontId="5" fillId="2" borderId="1" xfId="0" applyFont="1" applyFill="1" applyBorder="1" applyAlignment="1" applyProtection="1">
      <alignment wrapText="1"/>
      <protection locked="0"/>
    </xf>
    <xf numFmtId="0" fontId="4" fillId="0" borderId="1" xfId="0" applyFont="1" applyBorder="1" applyProtection="1">
      <protection locked="0"/>
    </xf>
    <xf numFmtId="2" fontId="4" fillId="0" borderId="1" xfId="0" applyNumberFormat="1" applyFont="1" applyBorder="1" applyProtection="1">
      <protection locked="0"/>
    </xf>
    <xf numFmtId="2" fontId="4" fillId="3" borderId="1" xfId="0" applyNumberFormat="1" applyFont="1" applyFill="1" applyBorder="1"/>
    <xf numFmtId="2" fontId="4" fillId="0" borderId="0" xfId="0" applyNumberFormat="1" applyFont="1" applyProtection="1">
      <protection locked="0"/>
    </xf>
    <xf numFmtId="2" fontId="5" fillId="3" borderId="1" xfId="0" applyNumberFormat="1" applyFont="1" applyFill="1" applyBorder="1"/>
    <xf numFmtId="4" fontId="3" fillId="0" borderId="0" xfId="0" applyNumberFormat="1" applyFont="1" applyProtection="1">
      <protection locked="0"/>
    </xf>
    <xf numFmtId="169" fontId="4" fillId="0" borderId="1" xfId="1" applyNumberFormat="1" applyFont="1" applyFill="1" applyBorder="1" applyAlignment="1" applyProtection="1">
      <protection locked="0"/>
    </xf>
    <xf numFmtId="10" fontId="4" fillId="4" borderId="1" xfId="3" applyNumberFormat="1" applyFont="1" applyFill="1" applyBorder="1" applyAlignment="1" applyProtection="1">
      <protection locked="0"/>
    </xf>
    <xf numFmtId="0" fontId="0" fillId="5" borderId="1" xfId="0" applyFill="1" applyBorder="1"/>
    <xf numFmtId="0" fontId="6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wrapText="1"/>
      <protection locked="0"/>
    </xf>
    <xf numFmtId="2" fontId="7" fillId="6" borderId="1" xfId="0" applyNumberFormat="1" applyFont="1" applyFill="1" applyBorder="1" applyProtection="1">
      <protection locked="0"/>
    </xf>
    <xf numFmtId="2" fontId="5" fillId="0" borderId="1" xfId="0" applyNumberFormat="1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7" borderId="1" xfId="0" applyFont="1" applyFill="1" applyBorder="1" applyAlignment="1" applyProtection="1">
      <alignment horizontal="center"/>
      <protection locked="0"/>
    </xf>
    <xf numFmtId="0" fontId="5" fillId="7" borderId="1" xfId="0" applyFont="1" applyFill="1" applyBorder="1" applyProtection="1">
      <protection locked="0"/>
    </xf>
    <xf numFmtId="0" fontId="5" fillId="0" borderId="1" xfId="0" applyFont="1" applyBorder="1" applyAlignment="1">
      <alignment wrapText="1"/>
    </xf>
    <xf numFmtId="0" fontId="18" fillId="8" borderId="1" xfId="0" applyFont="1" applyFill="1" applyBorder="1" applyProtection="1">
      <protection locked="0"/>
    </xf>
    <xf numFmtId="2" fontId="19" fillId="9" borderId="1" xfId="0" applyNumberFormat="1" applyFont="1" applyFill="1" applyBorder="1"/>
    <xf numFmtId="9" fontId="4" fillId="0" borderId="1" xfId="3" applyFont="1" applyFill="1" applyBorder="1"/>
    <xf numFmtId="2" fontId="4" fillId="0" borderId="1" xfId="0" applyNumberFormat="1" applyFont="1" applyBorder="1"/>
    <xf numFmtId="0" fontId="5" fillId="10" borderId="1" xfId="0" applyFont="1" applyFill="1" applyBorder="1" applyProtection="1">
      <protection locked="0"/>
    </xf>
    <xf numFmtId="2" fontId="5" fillId="10" borderId="1" xfId="0" applyNumberFormat="1" applyFont="1" applyFill="1" applyBorder="1" applyProtection="1">
      <protection locked="0"/>
    </xf>
    <xf numFmtId="2" fontId="5" fillId="11" borderId="1" xfId="0" applyNumberFormat="1" applyFont="1" applyFill="1" applyBorder="1" applyProtection="1">
      <protection locked="0"/>
    </xf>
    <xf numFmtId="1" fontId="5" fillId="11" borderId="1" xfId="0" applyNumberFormat="1" applyFont="1" applyFill="1" applyBorder="1" applyProtection="1">
      <protection locked="0"/>
    </xf>
    <xf numFmtId="10" fontId="5" fillId="11" borderId="1" xfId="0" applyNumberFormat="1" applyFont="1" applyFill="1" applyBorder="1" applyProtection="1">
      <protection locked="0"/>
    </xf>
    <xf numFmtId="9" fontId="5" fillId="11" borderId="1" xfId="3" applyFont="1" applyFill="1" applyBorder="1" applyAlignment="1" applyProtection="1">
      <protection locked="0"/>
    </xf>
    <xf numFmtId="2" fontId="5" fillId="11" borderId="1" xfId="0" applyNumberFormat="1" applyFont="1" applyFill="1" applyBorder="1"/>
    <xf numFmtId="0" fontId="20" fillId="12" borderId="1" xfId="0" applyFont="1" applyFill="1" applyBorder="1" applyProtection="1">
      <protection locked="0"/>
    </xf>
    <xf numFmtId="2" fontId="20" fillId="12" borderId="1" xfId="0" applyNumberFormat="1" applyFont="1" applyFill="1" applyBorder="1" applyProtection="1">
      <protection locked="0"/>
    </xf>
    <xf numFmtId="0" fontId="12" fillId="0" borderId="0" xfId="0" applyFont="1" applyProtection="1">
      <protection locked="0"/>
    </xf>
    <xf numFmtId="0" fontId="4" fillId="10" borderId="1" xfId="0" applyFont="1" applyFill="1" applyBorder="1" applyProtection="1">
      <protection locked="0"/>
    </xf>
    <xf numFmtId="2" fontId="11" fillId="11" borderId="1" xfId="0" applyNumberFormat="1" applyFont="1" applyFill="1" applyBorder="1" applyProtection="1">
      <protection locked="0"/>
    </xf>
    <xf numFmtId="2" fontId="5" fillId="13" borderId="1" xfId="0" applyNumberFormat="1" applyFont="1" applyFill="1" applyBorder="1"/>
    <xf numFmtId="2" fontId="4" fillId="13" borderId="1" xfId="0" applyNumberFormat="1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167" fontId="0" fillId="0" borderId="1" xfId="2" applyNumberFormat="1" applyFont="1" applyFill="1" applyBorder="1" applyAlignment="1"/>
    <xf numFmtId="9" fontId="0" fillId="0" borderId="1" xfId="3" applyFont="1" applyFill="1" applyBorder="1" applyAlignment="1"/>
    <xf numFmtId="9" fontId="0" fillId="0" borderId="1" xfId="3" applyFont="1" applyFill="1" applyBorder="1" applyAlignment="1">
      <alignment horizontal="center"/>
    </xf>
    <xf numFmtId="0" fontId="14" fillId="0" borderId="1" xfId="0" applyFont="1" applyBorder="1"/>
    <xf numFmtId="167" fontId="14" fillId="0" borderId="1" xfId="2" applyNumberFormat="1" applyFont="1" applyFill="1" applyBorder="1" applyAlignment="1"/>
    <xf numFmtId="167" fontId="21" fillId="0" borderId="1" xfId="2" applyNumberFormat="1" applyFont="1" applyFill="1" applyBorder="1" applyAlignment="1"/>
    <xf numFmtId="167" fontId="10" fillId="0" borderId="1" xfId="2" applyNumberFormat="1" applyFont="1" applyFill="1" applyBorder="1" applyAlignment="1"/>
    <xf numFmtId="169" fontId="4" fillId="0" borderId="1" xfId="0" applyNumberFormat="1" applyFont="1" applyBorder="1" applyProtection="1">
      <protection locked="0"/>
    </xf>
    <xf numFmtId="169" fontId="5" fillId="11" borderId="1" xfId="0" applyNumberFormat="1" applyFont="1" applyFill="1" applyBorder="1" applyProtection="1">
      <protection locked="0"/>
    </xf>
    <xf numFmtId="169" fontId="19" fillId="9" borderId="1" xfId="0" applyNumberFormat="1" applyFont="1" applyFill="1" applyBorder="1"/>
    <xf numFmtId="169" fontId="4" fillId="0" borderId="1" xfId="3" applyNumberFormat="1" applyFont="1" applyFill="1" applyBorder="1"/>
    <xf numFmtId="10" fontId="5" fillId="11" borderId="1" xfId="3" applyNumberFormat="1" applyFont="1" applyFill="1" applyBorder="1" applyAlignment="1" applyProtection="1">
      <protection locked="0"/>
    </xf>
    <xf numFmtId="0" fontId="15" fillId="0" borderId="1" xfId="0" applyFont="1" applyBorder="1" applyAlignment="1">
      <alignment horizontal="center" vertical="top" wrapText="1"/>
    </xf>
    <xf numFmtId="0" fontId="10" fillId="0" borderId="1" xfId="0" applyFont="1" applyBorder="1"/>
    <xf numFmtId="0" fontId="13" fillId="0" borderId="1" xfId="0" applyFont="1" applyBorder="1" applyAlignment="1">
      <alignment horizontal="right"/>
    </xf>
    <xf numFmtId="171" fontId="4" fillId="0" borderId="0" xfId="0" applyNumberFormat="1" applyFont="1" applyProtection="1">
      <protection locked="0"/>
    </xf>
    <xf numFmtId="2" fontId="0" fillId="0" borderId="0" xfId="0" applyNumberFormat="1"/>
    <xf numFmtId="10" fontId="0" fillId="0" borderId="0" xfId="3" applyNumberFormat="1" applyFont="1" applyBorder="1" applyAlignment="1"/>
    <xf numFmtId="2" fontId="16" fillId="0" borderId="1" xfId="0" applyNumberFormat="1" applyFont="1" applyBorder="1" applyProtection="1">
      <protection locked="0"/>
    </xf>
    <xf numFmtId="9" fontId="4" fillId="0" borderId="0" xfId="0" applyNumberFormat="1" applyFont="1" applyProtection="1">
      <protection locked="0"/>
    </xf>
    <xf numFmtId="10" fontId="4" fillId="0" borderId="0" xfId="0" applyNumberFormat="1" applyFont="1" applyProtection="1">
      <protection locked="0"/>
    </xf>
    <xf numFmtId="2" fontId="3" fillId="0" borderId="0" xfId="0" applyNumberFormat="1" applyFont="1" applyProtection="1">
      <protection locked="0"/>
    </xf>
    <xf numFmtId="169" fontId="4" fillId="0" borderId="0" xfId="0" applyNumberFormat="1" applyFont="1" applyProtection="1">
      <protection locked="0"/>
    </xf>
    <xf numFmtId="0" fontId="10" fillId="0" borderId="1" xfId="0" applyFont="1" applyBorder="1" applyAlignment="1">
      <alignment horizontal="center"/>
    </xf>
    <xf numFmtId="0" fontId="10" fillId="15" borderId="1" xfId="0" applyFont="1" applyFill="1" applyBorder="1" applyAlignment="1">
      <alignment horizontal="center"/>
    </xf>
    <xf numFmtId="0" fontId="10" fillId="10" borderId="1" xfId="0" applyFont="1" applyFill="1" applyBorder="1"/>
    <xf numFmtId="9" fontId="4" fillId="0" borderId="0" xfId="3" applyFont="1" applyFill="1" applyBorder="1"/>
    <xf numFmtId="2" fontId="4" fillId="0" borderId="0" xfId="0" applyNumberFormat="1" applyFont="1"/>
    <xf numFmtId="2" fontId="5" fillId="0" borderId="0" xfId="0" applyNumberFormat="1" applyFont="1" applyProtection="1">
      <protection locked="0"/>
    </xf>
    <xf numFmtId="0" fontId="5" fillId="0" borderId="1" xfId="0" applyFont="1" applyBorder="1" applyAlignment="1" applyProtection="1">
      <alignment horizontal="center" wrapText="1"/>
      <protection locked="0"/>
    </xf>
    <xf numFmtId="0" fontId="5" fillId="0" borderId="0" xfId="0" applyFont="1" applyAlignment="1" applyProtection="1">
      <alignment wrapText="1"/>
      <protection locked="0"/>
    </xf>
    <xf numFmtId="10" fontId="4" fillId="0" borderId="0" xfId="3" applyNumberFormat="1" applyFont="1" applyFill="1" applyBorder="1" applyAlignment="1" applyProtection="1">
      <protection locked="0"/>
    </xf>
    <xf numFmtId="1" fontId="5" fillId="0" borderId="0" xfId="0" applyNumberFormat="1" applyFont="1" applyProtection="1">
      <protection locked="0"/>
    </xf>
    <xf numFmtId="9" fontId="5" fillId="0" borderId="0" xfId="3" applyFont="1" applyFill="1" applyBorder="1" applyAlignment="1" applyProtection="1">
      <protection locked="0"/>
    </xf>
    <xf numFmtId="2" fontId="19" fillId="0" borderId="0" xfId="0" applyNumberFormat="1" applyFont="1"/>
    <xf numFmtId="10" fontId="5" fillId="0" borderId="0" xfId="0" applyNumberFormat="1" applyFont="1" applyProtection="1">
      <protection locked="0"/>
    </xf>
    <xf numFmtId="2" fontId="5" fillId="0" borderId="0" xfId="0" applyNumberFormat="1" applyFont="1"/>
    <xf numFmtId="2" fontId="7" fillId="0" borderId="0" xfId="0" applyNumberFormat="1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2" fontId="11" fillId="0" borderId="0" xfId="0" applyNumberFormat="1" applyFont="1" applyProtection="1">
      <protection locked="0"/>
    </xf>
    <xf numFmtId="2" fontId="20" fillId="0" borderId="0" xfId="0" applyNumberFormat="1" applyFont="1" applyProtection="1">
      <protection locked="0"/>
    </xf>
    <xf numFmtId="9" fontId="4" fillId="0" borderId="0" xfId="3" applyFont="1" applyFill="1" applyBorder="1" applyAlignment="1" applyProtection="1">
      <protection locked="0"/>
    </xf>
    <xf numFmtId="168" fontId="4" fillId="0" borderId="0" xfId="3" applyNumberFormat="1" applyFont="1" applyFill="1" applyBorder="1" applyAlignment="1" applyProtection="1">
      <protection locked="0"/>
    </xf>
    <xf numFmtId="1" fontId="4" fillId="0" borderId="0" xfId="0" applyNumberFormat="1" applyFont="1" applyProtection="1">
      <protection locked="0"/>
    </xf>
    <xf numFmtId="165" fontId="3" fillId="0" borderId="0" xfId="1" applyFont="1" applyFill="1" applyBorder="1" applyAlignment="1" applyProtection="1">
      <protection locked="0"/>
    </xf>
    <xf numFmtId="0" fontId="10" fillId="0" borderId="0" xfId="0" applyFont="1"/>
    <xf numFmtId="2" fontId="10" fillId="0" borderId="1" xfId="0" applyNumberFormat="1" applyFont="1" applyBorder="1"/>
    <xf numFmtId="10" fontId="10" fillId="10" borderId="1" xfId="3" applyNumberFormat="1" applyFont="1" applyFill="1" applyBorder="1" applyAlignment="1"/>
    <xf numFmtId="0" fontId="10" fillId="0" borderId="1" xfId="0" quotePrefix="1" applyFont="1" applyBorder="1" applyAlignment="1">
      <alignment horizontal="center"/>
    </xf>
    <xf numFmtId="0" fontId="10" fillId="10" borderId="1" xfId="0" quotePrefix="1" applyFont="1" applyFill="1" applyBorder="1" applyAlignment="1">
      <alignment horizontal="center"/>
    </xf>
    <xf numFmtId="3" fontId="10" fillId="0" borderId="1" xfId="0" applyNumberFormat="1" applyFont="1" applyBorder="1"/>
    <xf numFmtId="10" fontId="0" fillId="14" borderId="0" xfId="0" applyNumberFormat="1" applyFill="1"/>
    <xf numFmtId="0" fontId="22" fillId="16" borderId="0" xfId="0" applyFont="1" applyFill="1"/>
    <xf numFmtId="167" fontId="14" fillId="16" borderId="1" xfId="2" applyNumberFormat="1" applyFont="1" applyFill="1" applyBorder="1" applyAlignment="1"/>
    <xf numFmtId="10" fontId="22" fillId="16" borderId="0" xfId="3" applyNumberFormat="1" applyFont="1" applyFill="1" applyAlignment="1"/>
    <xf numFmtId="166" fontId="23" fillId="16" borderId="0" xfId="0" applyNumberFormat="1" applyFont="1" applyFill="1"/>
    <xf numFmtId="167" fontId="10" fillId="16" borderId="1" xfId="2" applyNumberFormat="1" applyFont="1" applyFill="1" applyBorder="1" applyAlignment="1"/>
    <xf numFmtId="167" fontId="10" fillId="16" borderId="1" xfId="0" applyNumberFormat="1" applyFont="1" applyFill="1" applyBorder="1"/>
    <xf numFmtId="168" fontId="10" fillId="16" borderId="1" xfId="3" applyNumberFormat="1" applyFont="1" applyFill="1" applyBorder="1" applyAlignment="1"/>
    <xf numFmtId="0" fontId="10" fillId="0" borderId="0" xfId="0" applyFont="1" applyAlignment="1">
      <alignment wrapText="1"/>
    </xf>
    <xf numFmtId="167" fontId="14" fillId="16" borderId="1" xfId="0" applyNumberFormat="1" applyFont="1" applyFill="1" applyBorder="1"/>
    <xf numFmtId="0" fontId="22" fillId="16" borderId="1" xfId="0" applyFont="1" applyFill="1" applyBorder="1"/>
    <xf numFmtId="167" fontId="23" fillId="16" borderId="1" xfId="2" applyNumberFormat="1" applyFont="1" applyFill="1" applyBorder="1" applyAlignment="1"/>
    <xf numFmtId="0" fontId="22" fillId="0" borderId="0" xfId="0" applyFont="1"/>
    <xf numFmtId="167" fontId="10" fillId="0" borderId="0" xfId="0" applyNumberFormat="1" applyFont="1"/>
    <xf numFmtId="10" fontId="10" fillId="0" borderId="0" xfId="0" applyNumberFormat="1" applyFont="1"/>
    <xf numFmtId="0" fontId="10" fillId="0" borderId="1" xfId="0" quotePrefix="1" applyFont="1" applyBorder="1"/>
    <xf numFmtId="0" fontId="10" fillId="10" borderId="1" xfId="0" quotePrefix="1" applyFont="1" applyFill="1" applyBorder="1"/>
    <xf numFmtId="172" fontId="4" fillId="0" borderId="0" xfId="0" applyNumberFormat="1" applyFont="1" applyProtection="1">
      <protection locked="0"/>
    </xf>
    <xf numFmtId="168" fontId="4" fillId="0" borderId="0" xfId="0" applyNumberFormat="1" applyFont="1" applyProtection="1">
      <protection locked="0"/>
    </xf>
    <xf numFmtId="10" fontId="4" fillId="0" borderId="1" xfId="0" applyNumberFormat="1" applyFont="1" applyBorder="1" applyProtection="1">
      <protection locked="0"/>
    </xf>
    <xf numFmtId="2" fontId="11" fillId="3" borderId="1" xfId="0" applyNumberFormat="1" applyFont="1" applyFill="1" applyBorder="1"/>
    <xf numFmtId="2" fontId="3" fillId="0" borderId="1" xfId="0" applyNumberFormat="1" applyFont="1" applyBorder="1" applyProtection="1">
      <protection locked="0"/>
    </xf>
    <xf numFmtId="2" fontId="3" fillId="0" borderId="1" xfId="0" applyNumberFormat="1" applyFont="1" applyBorder="1"/>
    <xf numFmtId="173" fontId="4" fillId="0" borderId="0" xfId="0" applyNumberFormat="1" applyFont="1" applyProtection="1">
      <protection locked="0"/>
    </xf>
    <xf numFmtId="10" fontId="4" fillId="0" borderId="0" xfId="3" applyNumberFormat="1" applyFont="1" applyFill="1" applyProtection="1">
      <protection locked="0"/>
    </xf>
    <xf numFmtId="168" fontId="4" fillId="0" borderId="0" xfId="3" applyNumberFormat="1" applyFont="1" applyFill="1" applyProtection="1">
      <protection locked="0"/>
    </xf>
    <xf numFmtId="2" fontId="4" fillId="14" borderId="1" xfId="0" applyNumberFormat="1" applyFont="1" applyFill="1" applyBorder="1" applyProtection="1">
      <protection locked="0"/>
    </xf>
    <xf numFmtId="2" fontId="4" fillId="0" borderId="1" xfId="0" applyNumberFormat="1" applyFont="1" applyFill="1" applyBorder="1" applyProtection="1">
      <protection locked="0"/>
    </xf>
    <xf numFmtId="2" fontId="3" fillId="0" borderId="1" xfId="0" applyNumberFormat="1" applyFont="1" applyFill="1" applyBorder="1" applyProtection="1">
      <protection locked="0"/>
    </xf>
    <xf numFmtId="0" fontId="4" fillId="0" borderId="0" xfId="0" applyFont="1" applyFill="1" applyProtection="1">
      <protection locked="0"/>
    </xf>
    <xf numFmtId="0" fontId="24" fillId="0" borderId="0" xfId="0" applyFont="1" applyFill="1" applyProtection="1">
      <protection locked="0"/>
    </xf>
    <xf numFmtId="0" fontId="3" fillId="0" borderId="0" xfId="0" applyFont="1" applyFill="1" applyProtection="1">
      <protection locked="0"/>
    </xf>
    <xf numFmtId="1" fontId="4" fillId="0" borderId="0" xfId="0" applyNumberFormat="1" applyFont="1" applyFill="1" applyProtection="1">
      <protection locked="0"/>
    </xf>
    <xf numFmtId="1" fontId="3" fillId="0" borderId="0" xfId="0" applyNumberFormat="1" applyFont="1" applyFill="1" applyProtection="1">
      <protection locked="0"/>
    </xf>
    <xf numFmtId="9" fontId="3" fillId="0" borderId="0" xfId="0" applyNumberFormat="1" applyFont="1" applyFill="1" applyProtection="1">
      <protection locked="0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16</xdr:row>
      <xdr:rowOff>68580</xdr:rowOff>
    </xdr:from>
    <xdr:to>
      <xdr:col>6</xdr:col>
      <xdr:colOff>609600</xdr:colOff>
      <xdr:row>24</xdr:row>
      <xdr:rowOff>22860</xdr:rowOff>
    </xdr:to>
    <xdr:pic>
      <xdr:nvPicPr>
        <xdr:cNvPr id="1204" name="Picture 1">
          <a:extLst>
            <a:ext uri="{FF2B5EF4-FFF2-40B4-BE49-F238E27FC236}">
              <a16:creationId xmlns:a16="http://schemas.microsoft.com/office/drawing/2014/main" id="{4A895A07-482C-A9A5-A788-B852A4E11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200400"/>
          <a:ext cx="393954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A4C4-5BB5-419B-B543-BF4E6EFC93DD}">
  <dimension ref="A1:K369"/>
  <sheetViews>
    <sheetView zoomScale="140" zoomScaleNormal="140" zoomScaleSheetLayoutView="140" workbookViewId="0">
      <pane ySplit="4" topLeftCell="A5" activePane="bottomLeft" state="frozen"/>
      <selection pane="bottomLeft" activeCell="H8" sqref="H8"/>
    </sheetView>
  </sheetViews>
  <sheetFormatPr defaultColWidth="8" defaultRowHeight="10.8"/>
  <cols>
    <col min="1" max="1" width="33.33203125" style="2" customWidth="1"/>
    <col min="2" max="2" width="7.44140625" style="2" bestFit="1" customWidth="1"/>
    <col min="3" max="3" width="7.44140625" style="12" bestFit="1" customWidth="1"/>
    <col min="4" max="4" width="8.44140625" style="2" bestFit="1" customWidth="1"/>
    <col min="5" max="5" width="10" style="2" bestFit="1" customWidth="1"/>
    <col min="6" max="6" width="2.77734375" style="2" customWidth="1"/>
    <col min="7" max="8" width="8.33203125" style="2" bestFit="1" customWidth="1"/>
    <col min="9" max="9" width="10" style="2" bestFit="1" customWidth="1"/>
    <col min="10" max="10" width="8.88671875" style="2" bestFit="1" customWidth="1"/>
    <col min="11" max="11" width="9.6640625" style="2" bestFit="1" customWidth="1"/>
    <col min="12" max="12" width="12.109375" style="2" bestFit="1" customWidth="1"/>
    <col min="13" max="16384" width="8" style="2"/>
  </cols>
  <sheetData>
    <row r="1" spans="1:10" s="3" customFormat="1" ht="18.75" customHeight="1">
      <c r="A1" s="1"/>
      <c r="E1" s="4" t="s">
        <v>0</v>
      </c>
      <c r="F1" s="4"/>
    </row>
    <row r="2" spans="1:10" s="3" customFormat="1" ht="20.25" customHeight="1">
      <c r="A2" s="15"/>
      <c r="B2" s="5">
        <v>2025</v>
      </c>
      <c r="C2" s="5">
        <v>2026</v>
      </c>
      <c r="D2" s="5">
        <v>2027</v>
      </c>
      <c r="E2" s="5">
        <v>2028</v>
      </c>
      <c r="F2" s="78"/>
      <c r="G2" s="5">
        <v>2025</v>
      </c>
      <c r="H2" s="5">
        <v>2026</v>
      </c>
      <c r="I2" s="5">
        <v>2027</v>
      </c>
      <c r="J2" s="5">
        <v>2028</v>
      </c>
    </row>
    <row r="3" spans="1:10" s="3" customFormat="1" ht="9.75" customHeight="1">
      <c r="A3" s="6" t="s">
        <v>1</v>
      </c>
      <c r="B3" s="6" t="s">
        <v>145</v>
      </c>
      <c r="C3" s="6" t="s">
        <v>145</v>
      </c>
      <c r="D3" s="6" t="s">
        <v>2</v>
      </c>
      <c r="E3" s="6" t="s">
        <v>151</v>
      </c>
      <c r="F3" s="79"/>
      <c r="G3" s="6" t="s">
        <v>145</v>
      </c>
      <c r="H3" s="6" t="s">
        <v>145</v>
      </c>
      <c r="I3" s="6" t="s">
        <v>2</v>
      </c>
      <c r="J3" s="6" t="s">
        <v>2</v>
      </c>
    </row>
    <row r="4" spans="1:10" s="3" customFormat="1" ht="8.25" customHeight="1">
      <c r="A4" s="6" t="s">
        <v>3</v>
      </c>
      <c r="B4" s="6"/>
      <c r="C4" s="6"/>
      <c r="D4" s="6"/>
      <c r="E4" s="6"/>
      <c r="F4" s="79"/>
    </row>
    <row r="5" spans="1:10" s="3" customFormat="1" ht="9" customHeight="1">
      <c r="A5" s="7"/>
      <c r="B5" s="7"/>
      <c r="C5" s="7"/>
      <c r="D5" s="7"/>
      <c r="E5" s="7"/>
    </row>
    <row r="6" spans="1:10" s="3" customFormat="1" ht="12" customHeight="1">
      <c r="A6" s="16" t="s">
        <v>4</v>
      </c>
      <c r="B6" s="7"/>
      <c r="C6" s="7"/>
      <c r="D6" s="7"/>
      <c r="E6" s="7"/>
    </row>
    <row r="7" spans="1:10" s="3" customFormat="1">
      <c r="A7" s="17" t="s">
        <v>5</v>
      </c>
      <c r="B7" s="14"/>
      <c r="C7" s="14"/>
      <c r="D7" s="14"/>
      <c r="E7" s="14"/>
      <c r="F7" s="80"/>
    </row>
    <row r="8" spans="1:10" s="3" customFormat="1" ht="12.75" customHeight="1">
      <c r="A8" s="7" t="s">
        <v>6</v>
      </c>
      <c r="B8" s="13"/>
      <c r="C8" s="13"/>
      <c r="D8" s="8"/>
      <c r="E8" s="8"/>
      <c r="F8" s="10"/>
    </row>
    <row r="9" spans="1:10" s="3" customFormat="1" ht="12" customHeight="1">
      <c r="A9" s="7" t="s">
        <v>7</v>
      </c>
      <c r="B9" s="56"/>
      <c r="C9" s="8"/>
      <c r="D9" s="8"/>
      <c r="E9" s="8"/>
      <c r="F9" s="10"/>
    </row>
    <row r="10" spans="1:10" s="3" customFormat="1">
      <c r="A10" s="29" t="s">
        <v>8</v>
      </c>
      <c r="B10" s="57">
        <f>B12-B11</f>
        <v>58965</v>
      </c>
      <c r="C10" s="57">
        <f>C12-C11</f>
        <v>61315</v>
      </c>
      <c r="D10" s="31">
        <f>D12-D11</f>
        <v>64339.652499999997</v>
      </c>
      <c r="E10" s="31">
        <f>(E8+E9)</f>
        <v>0</v>
      </c>
      <c r="F10" s="77"/>
      <c r="G10" s="71"/>
      <c r="H10" s="71"/>
    </row>
    <row r="11" spans="1:10" s="3" customFormat="1" ht="10.5" customHeight="1">
      <c r="A11" s="7" t="s">
        <v>9</v>
      </c>
      <c r="B11" s="56">
        <f>413+164+134</f>
        <v>711</v>
      </c>
      <c r="C11" s="8">
        <f>383+116+161</f>
        <v>660</v>
      </c>
      <c r="D11" s="8">
        <f>I11*D12</f>
        <v>735.34749999999997</v>
      </c>
      <c r="E11" s="8"/>
      <c r="F11" s="10"/>
      <c r="G11" s="80">
        <f>B11/B12</f>
        <v>1.1914337422079228E-2</v>
      </c>
      <c r="H11" s="80">
        <f>C11/C12</f>
        <v>1.0649455425574829E-2</v>
      </c>
      <c r="I11" s="69">
        <v>1.1299999999999999E-2</v>
      </c>
    </row>
    <row r="12" spans="1:10" s="3" customFormat="1">
      <c r="A12" s="29" t="s">
        <v>10</v>
      </c>
      <c r="B12" s="57">
        <v>59676</v>
      </c>
      <c r="C12" s="57">
        <v>61975</v>
      </c>
      <c r="D12" s="32">
        <v>65075</v>
      </c>
      <c r="E12" s="32">
        <f>E10+E11</f>
        <v>0</v>
      </c>
      <c r="F12" s="81"/>
      <c r="G12" s="80"/>
    </row>
    <row r="13" spans="1:10" s="3" customFormat="1">
      <c r="A13" s="29" t="s">
        <v>11</v>
      </c>
      <c r="B13" s="60" t="e">
        <f>(B12-#REF!)/#REF!</f>
        <v>#REF!</v>
      </c>
      <c r="C13" s="34">
        <f>(C12-B12)/B12</f>
        <v>3.8524700046920032E-2</v>
      </c>
      <c r="D13" s="34">
        <f>(D12-C12)/C12</f>
        <v>5.0020169423154501E-2</v>
      </c>
      <c r="E13" s="34">
        <f>(E12-D12)/D12</f>
        <v>-1</v>
      </c>
      <c r="F13" s="82"/>
    </row>
    <row r="14" spans="1:10" s="3" customFormat="1">
      <c r="A14" s="25" t="s">
        <v>147</v>
      </c>
      <c r="B14" s="58"/>
      <c r="C14" s="26"/>
      <c r="D14" s="26"/>
      <c r="E14" s="26"/>
      <c r="F14" s="83"/>
    </row>
    <row r="15" spans="1:10" s="3" customFormat="1">
      <c r="A15" s="7" t="s">
        <v>13</v>
      </c>
      <c r="B15" s="59"/>
      <c r="C15" s="27"/>
      <c r="D15" s="27"/>
      <c r="E15" s="27"/>
      <c r="F15" s="75"/>
    </row>
    <row r="16" spans="1:10" s="3" customFormat="1">
      <c r="A16" s="7" t="s">
        <v>14</v>
      </c>
      <c r="B16" s="8"/>
      <c r="C16" s="8"/>
      <c r="D16" s="8"/>
      <c r="E16" s="8"/>
      <c r="F16" s="10"/>
    </row>
    <row r="17" spans="1:11" s="3" customFormat="1">
      <c r="A17" s="7" t="s">
        <v>15</v>
      </c>
      <c r="B17" s="8">
        <v>14273</v>
      </c>
      <c r="C17" s="8">
        <v>16130</v>
      </c>
      <c r="D17" s="8">
        <f>I17*$D$10</f>
        <v>16084.913124999999</v>
      </c>
      <c r="E17" s="8"/>
      <c r="F17" s="10"/>
      <c r="G17" s="80">
        <f>B17/$B$10</f>
        <v>0.24205884846943101</v>
      </c>
      <c r="H17" s="80">
        <f>C17/$C$10</f>
        <v>0.2630677648210063</v>
      </c>
      <c r="I17" s="80">
        <v>0.25</v>
      </c>
      <c r="J17" s="118"/>
      <c r="K17" s="64"/>
    </row>
    <row r="18" spans="1:11" s="3" customFormat="1">
      <c r="A18" s="7" t="s">
        <v>16</v>
      </c>
      <c r="B18" s="28"/>
      <c r="C18" s="28"/>
      <c r="D18" s="28"/>
      <c r="E18" s="28"/>
      <c r="F18" s="76"/>
      <c r="G18" s="80"/>
      <c r="H18" s="80"/>
      <c r="I18" s="80"/>
      <c r="J18" s="118"/>
      <c r="K18" s="64"/>
    </row>
    <row r="19" spans="1:11" s="3" customFormat="1">
      <c r="A19" s="7" t="s">
        <v>136</v>
      </c>
      <c r="B19" s="8">
        <v>12172</v>
      </c>
      <c r="C19" s="8">
        <v>12753</v>
      </c>
      <c r="D19" s="8">
        <f>I19*$D$10</f>
        <v>13511.327024999999</v>
      </c>
      <c r="E19" s="8"/>
      <c r="F19" s="10"/>
      <c r="G19" s="80">
        <f>B19/$B$10</f>
        <v>0.20642754176206224</v>
      </c>
      <c r="H19" s="80">
        <f>C19/$C$10</f>
        <v>0.20799151920410994</v>
      </c>
      <c r="I19" s="80">
        <v>0.21</v>
      </c>
    </row>
    <row r="20" spans="1:11" s="3" customFormat="1">
      <c r="A20" s="7" t="s">
        <v>137</v>
      </c>
      <c r="B20" s="8">
        <v>3001</v>
      </c>
      <c r="C20" s="8">
        <v>2596</v>
      </c>
      <c r="D20" s="8">
        <f>I20*$D$10</f>
        <v>2998.2278065</v>
      </c>
      <c r="E20" s="8"/>
      <c r="F20" s="10"/>
      <c r="G20" s="80">
        <f>B20/$B$10</f>
        <v>5.0894598490630036E-2</v>
      </c>
      <c r="H20" s="80">
        <f>C20/$C$10</f>
        <v>4.2338742558917071E-2</v>
      </c>
      <c r="I20" s="80">
        <v>4.6600000000000003E-2</v>
      </c>
    </row>
    <row r="21" spans="1:11" s="3" customFormat="1">
      <c r="A21" s="7" t="s">
        <v>17</v>
      </c>
      <c r="B21" s="67">
        <v>341</v>
      </c>
      <c r="C21" s="67">
        <v>364</v>
      </c>
      <c r="D21" s="8">
        <f>I21*$D$10</f>
        <v>379.60394974999997</v>
      </c>
      <c r="E21" s="8"/>
      <c r="F21" s="10"/>
      <c r="G21" s="80">
        <f>B21/$B$10</f>
        <v>5.7830916645467655E-3</v>
      </c>
      <c r="H21" s="80">
        <f>C21/$C$10</f>
        <v>5.9365571230530862E-3</v>
      </c>
      <c r="I21" s="80">
        <v>5.8999999999999999E-3</v>
      </c>
    </row>
    <row r="22" spans="1:11" s="3" customFormat="1">
      <c r="A22" s="7" t="s">
        <v>18</v>
      </c>
      <c r="B22" s="67">
        <f>((10373*668239)+(736*450433))/10000000</f>
        <v>726.31618349999997</v>
      </c>
      <c r="C22" s="67">
        <f>((9446*714823)+(840*489369))/10000000</f>
        <v>716.32880179999995</v>
      </c>
      <c r="D22" s="8">
        <f>C22*(1+I22)</f>
        <v>766.47181792599997</v>
      </c>
      <c r="E22" s="8"/>
      <c r="F22" s="10"/>
      <c r="G22" s="80">
        <f>B22/2715</f>
        <v>0.2675197729281768</v>
      </c>
      <c r="H22" s="80">
        <f>C22/2843</f>
        <v>0.25196229398522685</v>
      </c>
      <c r="I22" s="68">
        <v>7.0000000000000007E-2</v>
      </c>
    </row>
    <row r="23" spans="1:11" s="3" customFormat="1">
      <c r="A23" s="7" t="s">
        <v>126</v>
      </c>
      <c r="B23" s="67"/>
      <c r="C23" s="67"/>
      <c r="D23" s="8"/>
      <c r="E23" s="8"/>
      <c r="F23" s="10"/>
    </row>
    <row r="24" spans="1:11" s="3" customFormat="1">
      <c r="A24" s="7" t="s">
        <v>19</v>
      </c>
      <c r="B24" s="67">
        <v>1122</v>
      </c>
      <c r="C24" s="67">
        <v>1186</v>
      </c>
      <c r="D24" s="8">
        <f>I24*(D156-D155-D149)</f>
        <v>1138.49</v>
      </c>
      <c r="E24" s="8"/>
      <c r="F24" s="10"/>
      <c r="G24" s="92">
        <f>B24/(B156-B155-B149)</f>
        <v>0.15729706995654003</v>
      </c>
      <c r="H24" s="92">
        <f>C24/(C156-C155-C149)</f>
        <v>0.17939797307517774</v>
      </c>
      <c r="I24" s="119">
        <v>0.17</v>
      </c>
    </row>
    <row r="25" spans="1:11" s="3" customFormat="1">
      <c r="A25" s="7" t="s">
        <v>20</v>
      </c>
      <c r="B25" s="67"/>
      <c r="C25" s="67"/>
      <c r="D25" s="8"/>
      <c r="E25" s="8"/>
      <c r="F25" s="10"/>
    </row>
    <row r="26" spans="1:11" s="3" customFormat="1">
      <c r="A26" s="7" t="s">
        <v>128</v>
      </c>
      <c r="B26" s="67"/>
      <c r="C26" s="67"/>
      <c r="D26" s="8"/>
      <c r="E26" s="8"/>
      <c r="F26" s="10"/>
    </row>
    <row r="27" spans="1:11" s="3" customFormat="1">
      <c r="A27" s="7" t="s">
        <v>127</v>
      </c>
      <c r="B27" s="67">
        <f>1800/2</f>
        <v>900</v>
      </c>
      <c r="C27" s="67">
        <f>1963/2</f>
        <v>981.5</v>
      </c>
      <c r="D27" s="8">
        <f>I27*$D$10</f>
        <v>1029.43444</v>
      </c>
      <c r="E27" s="8"/>
      <c r="F27" s="10"/>
      <c r="G27" s="80">
        <f>B27/$B$10</f>
        <v>1.5263291783261256E-2</v>
      </c>
      <c r="H27" s="80">
        <f>C27/$C$10</f>
        <v>1.6007502242518144E-2</v>
      </c>
      <c r="I27" s="80">
        <v>1.6E-2</v>
      </c>
    </row>
    <row r="28" spans="1:11" s="3" customFormat="1">
      <c r="A28" s="29" t="s">
        <v>146</v>
      </c>
      <c r="B28" s="30">
        <f>B16+B17+B19+B20+B21+B22+B23+B24+B25+B26+B27</f>
        <v>32535.316183499999</v>
      </c>
      <c r="C28" s="30">
        <f>C16+C17+C19+C20+C21+C22+C23+C24+C25+C26+C27</f>
        <v>34726.828801800002</v>
      </c>
      <c r="D28" s="30">
        <f>D16+D17+D19+D20+D21+D22+D23+D24+D25+D26+D27</f>
        <v>35908.468164175996</v>
      </c>
      <c r="E28" s="30">
        <f>E16+E17+E19+E20+E21+E22+E23+E24+E25+E26+E27</f>
        <v>0</v>
      </c>
      <c r="F28" s="77"/>
    </row>
    <row r="29" spans="1:11" s="3" customFormat="1">
      <c r="A29" s="7" t="s">
        <v>21</v>
      </c>
      <c r="B29" s="128">
        <v>552</v>
      </c>
      <c r="C29" s="128">
        <f>B30</f>
        <v>488</v>
      </c>
      <c r="D29" s="8">
        <f>C30</f>
        <v>463</v>
      </c>
      <c r="E29" s="8">
        <f>D30</f>
        <v>440</v>
      </c>
      <c r="F29" s="10"/>
      <c r="H29" s="10"/>
      <c r="I29" s="10"/>
    </row>
    <row r="30" spans="1:11" s="3" customFormat="1">
      <c r="A30" s="7" t="s">
        <v>22</v>
      </c>
      <c r="B30" s="128">
        <v>488</v>
      </c>
      <c r="C30" s="128">
        <v>463</v>
      </c>
      <c r="D30" s="8">
        <v>440</v>
      </c>
      <c r="E30" s="8">
        <v>0</v>
      </c>
      <c r="F30" s="10"/>
      <c r="H30" s="10"/>
      <c r="I30" s="10"/>
    </row>
    <row r="31" spans="1:11" s="3" customFormat="1">
      <c r="A31" s="29" t="s">
        <v>23</v>
      </c>
      <c r="B31" s="31">
        <f>B28+B29-B30</f>
        <v>32599.316183499999</v>
      </c>
      <c r="C31" s="31">
        <f>C28+C29-C30</f>
        <v>34751.828801800002</v>
      </c>
      <c r="D31" s="31">
        <f>D28+D29-D30</f>
        <v>35931.468164175996</v>
      </c>
      <c r="E31" s="31">
        <f>E28+E29-E30</f>
        <v>440</v>
      </c>
      <c r="F31" s="77"/>
      <c r="H31" s="10"/>
      <c r="I31" s="10"/>
    </row>
    <row r="32" spans="1:11" s="3" customFormat="1">
      <c r="A32" s="29" t="s">
        <v>24</v>
      </c>
      <c r="B32" s="33">
        <f>(B31/B10)</f>
        <v>0.55285874982616801</v>
      </c>
      <c r="C32" s="33">
        <f>(C31/C10)</f>
        <v>0.5667753209133165</v>
      </c>
      <c r="D32" s="33">
        <f>(D31/D10)</f>
        <v>0.5584653750527484</v>
      </c>
      <c r="E32" s="33" t="e">
        <f>(E31/E10)</f>
        <v>#DIV/0!</v>
      </c>
      <c r="F32" s="84"/>
    </row>
    <row r="33" spans="1:11" s="3" customFormat="1">
      <c r="A33" s="18" t="s">
        <v>25</v>
      </c>
      <c r="B33" s="128">
        <v>1498</v>
      </c>
      <c r="C33" s="128">
        <v>1668</v>
      </c>
      <c r="D33" s="8">
        <f>+C34</f>
        <v>2101</v>
      </c>
      <c r="E33" s="8">
        <f>+D34</f>
        <v>2400</v>
      </c>
      <c r="F33" s="10"/>
    </row>
    <row r="34" spans="1:11" s="3" customFormat="1">
      <c r="A34" s="18" t="s">
        <v>26</v>
      </c>
      <c r="B34" s="128">
        <f>1668</f>
        <v>1668</v>
      </c>
      <c r="C34" s="128">
        <f>2101</f>
        <v>2101</v>
      </c>
      <c r="D34" s="8">
        <v>2400</v>
      </c>
      <c r="E34" s="8">
        <v>0</v>
      </c>
      <c r="F34" s="10"/>
    </row>
    <row r="35" spans="1:11" s="3" customFormat="1">
      <c r="A35" s="29" t="s">
        <v>12</v>
      </c>
      <c r="B35" s="31">
        <f>B31+B33-B34+28</f>
        <v>32457.316183499999</v>
      </c>
      <c r="C35" s="31">
        <f>C31+C33-C34+13</f>
        <v>34331.828801800002</v>
      </c>
      <c r="D35" s="31">
        <f>D31+D33-D34</f>
        <v>35632.468164175996</v>
      </c>
      <c r="E35" s="31">
        <f>E31+E33-E34</f>
        <v>2840</v>
      </c>
      <c r="F35" s="77"/>
    </row>
    <row r="36" spans="1:11" s="3" customFormat="1">
      <c r="A36" s="29" t="s">
        <v>27</v>
      </c>
      <c r="B36" s="33">
        <f>B35/B10</f>
        <v>0.55045054156703133</v>
      </c>
      <c r="C36" s="33">
        <f>C35/C10</f>
        <v>0.55992544730979377</v>
      </c>
      <c r="D36" s="33">
        <f>D35/D10</f>
        <v>0.55381816313316268</v>
      </c>
      <c r="E36" s="33" t="e">
        <f>E35/E10</f>
        <v>#DIV/0!</v>
      </c>
      <c r="F36" s="84"/>
    </row>
    <row r="37" spans="1:11" s="3" customFormat="1">
      <c r="A37" s="7" t="s">
        <v>28</v>
      </c>
      <c r="B37" s="8">
        <f>13449-B21-B27+2715-B22</f>
        <v>14196.683816500001</v>
      </c>
      <c r="C37" s="8">
        <f>13584-C21-C27+2843-C22</f>
        <v>14365.1711982</v>
      </c>
      <c r="D37" s="8">
        <f>I37*D12</f>
        <v>15292.625</v>
      </c>
      <c r="E37" s="8">
        <v>0</v>
      </c>
      <c r="F37" s="10"/>
      <c r="G37" s="92">
        <f>B37/B12</f>
        <v>0.23789603553354785</v>
      </c>
      <c r="H37" s="92">
        <f>C37/C12</f>
        <v>0.23178977326663977</v>
      </c>
      <c r="I37" s="69">
        <v>0.23499999999999999</v>
      </c>
    </row>
    <row r="38" spans="1:11" s="3" customFormat="1">
      <c r="A38" s="29" t="s">
        <v>29</v>
      </c>
      <c r="B38" s="31">
        <f>B12-B35-B37</f>
        <v>13022</v>
      </c>
      <c r="C38" s="31">
        <f>C12-C35-C37</f>
        <v>13277.999999999998</v>
      </c>
      <c r="D38" s="31">
        <f>D12-D35-D37</f>
        <v>14149.906835824004</v>
      </c>
      <c r="E38" s="31">
        <f>E12-E35-E37</f>
        <v>-2840</v>
      </c>
      <c r="F38" s="77"/>
    </row>
    <row r="39" spans="1:11" s="3" customFormat="1">
      <c r="A39" s="29" t="s">
        <v>30</v>
      </c>
      <c r="B39" s="33">
        <f>(B38/B10)</f>
        <v>0.22084287289069787</v>
      </c>
      <c r="C39" s="33">
        <f>(C38/C10)</f>
        <v>0.21655386120851339</v>
      </c>
      <c r="D39" s="33">
        <f>(D38/D10)</f>
        <v>0.21992513614872267</v>
      </c>
      <c r="E39" s="33" t="e">
        <f>(E38/E10)</f>
        <v>#DIV/0!</v>
      </c>
      <c r="F39" s="84"/>
    </row>
    <row r="40" spans="1:11" s="3" customFormat="1">
      <c r="A40" s="7" t="s">
        <v>31</v>
      </c>
      <c r="B40" s="8">
        <v>350</v>
      </c>
      <c r="C40" s="8">
        <v>363</v>
      </c>
      <c r="D40" s="8">
        <f>I40*(D85+D101+3800)</f>
        <v>357.00000000000006</v>
      </c>
      <c r="E40" s="8"/>
      <c r="F40" s="10"/>
      <c r="G40" s="92">
        <f>B40/(B85+B101+3592)</f>
        <v>6.8239422889452131E-2</v>
      </c>
      <c r="H40" s="80">
        <f>C40/(C85+C101+3685)</f>
        <v>7.2455089820359281E-2</v>
      </c>
      <c r="I40" s="68">
        <v>7.0000000000000007E-2</v>
      </c>
    </row>
    <row r="41" spans="1:11" s="3" customFormat="1">
      <c r="A41" s="29" t="s">
        <v>148</v>
      </c>
      <c r="B41" s="33">
        <f>B40/B10</f>
        <v>5.9357245823793772E-3</v>
      </c>
      <c r="C41" s="33">
        <f>C40/C10</f>
        <v>5.9202479001875565E-3</v>
      </c>
      <c r="D41" s="33">
        <f>D40/D10</f>
        <v>5.5486777768966045E-3</v>
      </c>
      <c r="E41" s="33" t="e">
        <f>E40/E10</f>
        <v>#DIV/0!</v>
      </c>
      <c r="F41" s="84"/>
    </row>
    <row r="42" spans="1:11" s="3" customFormat="1">
      <c r="A42" s="29" t="s">
        <v>32</v>
      </c>
      <c r="B42" s="31">
        <f>B38-B40</f>
        <v>12672</v>
      </c>
      <c r="C42" s="31">
        <f>C38-C40</f>
        <v>12914.999999999998</v>
      </c>
      <c r="D42" s="31">
        <f>D38-D40</f>
        <v>13792.906835824004</v>
      </c>
      <c r="E42" s="31">
        <f>E38-E40</f>
        <v>-2840</v>
      </c>
      <c r="F42" s="77"/>
    </row>
    <row r="43" spans="1:11" s="3" customFormat="1">
      <c r="A43" s="29" t="s">
        <v>33</v>
      </c>
      <c r="B43" s="33">
        <f>B42/B10</f>
        <v>0.2149071483083185</v>
      </c>
      <c r="C43" s="33">
        <f>C42/C10</f>
        <v>0.21063361330832583</v>
      </c>
      <c r="D43" s="33">
        <f>D42/D10</f>
        <v>0.21437645837182606</v>
      </c>
      <c r="E43" s="33" t="e">
        <f>E42/E10</f>
        <v>#DIV/0!</v>
      </c>
      <c r="F43" s="84"/>
    </row>
    <row r="44" spans="1:11" s="3" customFormat="1">
      <c r="A44" s="7" t="s">
        <v>34</v>
      </c>
      <c r="B44" s="28"/>
      <c r="C44" s="28"/>
      <c r="D44" s="28"/>
      <c r="E44" s="28"/>
      <c r="F44" s="76"/>
      <c r="J44" s="130"/>
    </row>
    <row r="45" spans="1:11" s="3" customFormat="1">
      <c r="A45" s="7" t="s">
        <v>134</v>
      </c>
      <c r="B45" s="8">
        <f>374+247+142</f>
        <v>763</v>
      </c>
      <c r="C45" s="8">
        <f>139+212+195</f>
        <v>546</v>
      </c>
      <c r="D45" s="28">
        <f>I45*(D124+D126+D127+D142+D162+D159+D164)</f>
        <v>528.92549999999994</v>
      </c>
      <c r="E45" s="8"/>
      <c r="F45" s="10"/>
      <c r="G45" s="80">
        <f>B45/(B124+B126+B127+B142+B162+B159+B164)</f>
        <v>7.0419935394554684E-2</v>
      </c>
      <c r="H45" s="80">
        <f>C45/(C124+C126+C127+C142+C162+C159+C164)</f>
        <v>8.1822268844597631E-2</v>
      </c>
      <c r="I45" s="69">
        <v>7.4999999999999997E-2</v>
      </c>
      <c r="J45" s="131"/>
    </row>
    <row r="46" spans="1:11" s="3" customFormat="1">
      <c r="A46" s="7" t="s">
        <v>135</v>
      </c>
      <c r="B46" s="8">
        <v>169</v>
      </c>
      <c r="C46" s="8">
        <f>225+5</f>
        <v>230</v>
      </c>
      <c r="D46" s="8">
        <f>I46*D158</f>
        <v>463.20000000000005</v>
      </c>
      <c r="E46" s="8"/>
      <c r="F46" s="10"/>
      <c r="G46" s="92">
        <f>B46/B158</f>
        <v>0.17139959432048682</v>
      </c>
      <c r="H46" s="91">
        <f>C46/C158</f>
        <v>4.9654576856649396E-2</v>
      </c>
      <c r="I46" s="68">
        <v>0.1</v>
      </c>
      <c r="J46" s="130"/>
    </row>
    <row r="47" spans="1:11" s="3" customFormat="1">
      <c r="A47" s="7" t="s">
        <v>35</v>
      </c>
      <c r="B47" s="8"/>
      <c r="C47" s="8"/>
      <c r="D47" s="8"/>
      <c r="E47" s="8"/>
      <c r="F47" s="10"/>
      <c r="K47" s="68"/>
    </row>
    <row r="48" spans="1:11" s="3" customFormat="1">
      <c r="A48" s="7" t="s">
        <v>168</v>
      </c>
      <c r="B48" s="8">
        <f>5+595</f>
        <v>600</v>
      </c>
      <c r="C48" s="8">
        <f>1+228</f>
        <v>229</v>
      </c>
      <c r="D48" s="8">
        <v>0</v>
      </c>
      <c r="E48" s="8"/>
      <c r="F48" s="10"/>
      <c r="K48" s="69"/>
    </row>
    <row r="49" spans="1:9" s="3" customFormat="1">
      <c r="A49" s="7" t="s">
        <v>170</v>
      </c>
      <c r="B49" s="8">
        <f>29+4</f>
        <v>33</v>
      </c>
      <c r="C49" s="8">
        <f>4471+71+201</f>
        <v>4743</v>
      </c>
      <c r="D49" s="8">
        <v>30</v>
      </c>
      <c r="E49" s="8"/>
      <c r="F49" s="10"/>
    </row>
    <row r="50" spans="1:9" s="3" customFormat="1">
      <c r="A50" s="7" t="s">
        <v>125</v>
      </c>
      <c r="B50" s="8">
        <v>245</v>
      </c>
      <c r="C50" s="8">
        <f>183+273</f>
        <v>456</v>
      </c>
      <c r="D50" s="8">
        <f>I50*D12</f>
        <v>325.375</v>
      </c>
      <c r="E50" s="8"/>
      <c r="F50" s="10"/>
      <c r="G50" s="80">
        <f>B50/B12</f>
        <v>4.1055030498022655E-3</v>
      </c>
      <c r="H50" s="80">
        <f>C50/C12</f>
        <v>7.3578055667607905E-3</v>
      </c>
      <c r="I50" s="69">
        <v>5.0000000000000001E-3</v>
      </c>
    </row>
    <row r="51" spans="1:9" s="3" customFormat="1">
      <c r="A51" s="29" t="s">
        <v>36</v>
      </c>
      <c r="B51" s="35">
        <f>B45+B46+B47+B48+B49+B50</f>
        <v>1810</v>
      </c>
      <c r="C51" s="35">
        <f>C45+C46+C47+C48+C49+C50</f>
        <v>6204</v>
      </c>
      <c r="D51" s="35">
        <f>D45+D46+D47+D48+D49+D50</f>
        <v>1347.5005000000001</v>
      </c>
      <c r="E51" s="35">
        <f>E45+E46+E47+E48+E49+E50</f>
        <v>0</v>
      </c>
      <c r="F51" s="85"/>
    </row>
    <row r="52" spans="1:9" s="3" customFormat="1">
      <c r="A52" s="17" t="s">
        <v>37</v>
      </c>
      <c r="B52" s="19"/>
      <c r="C52" s="19"/>
      <c r="D52" s="19"/>
      <c r="E52" s="19"/>
      <c r="F52" s="86"/>
    </row>
    <row r="53" spans="1:9" s="3" customFormat="1">
      <c r="A53" s="7" t="s">
        <v>38</v>
      </c>
      <c r="B53" s="8"/>
      <c r="C53" s="8"/>
      <c r="D53" s="8"/>
      <c r="E53" s="8"/>
      <c r="F53" s="10"/>
    </row>
    <row r="54" spans="1:9" s="3" customFormat="1">
      <c r="A54" s="7" t="s">
        <v>39</v>
      </c>
      <c r="B54" s="8"/>
      <c r="C54" s="8"/>
      <c r="D54" s="8"/>
      <c r="E54" s="8"/>
      <c r="F54" s="10"/>
    </row>
    <row r="55" spans="1:9" s="3" customFormat="1">
      <c r="A55" s="7" t="s">
        <v>40</v>
      </c>
      <c r="B55" s="8"/>
      <c r="C55" s="8"/>
      <c r="D55" s="8"/>
      <c r="E55" s="8"/>
      <c r="F55" s="10"/>
    </row>
    <row r="56" spans="1:9" s="3" customFormat="1">
      <c r="A56" s="7" t="s">
        <v>169</v>
      </c>
      <c r="B56" s="8">
        <f>42+19</f>
        <v>61</v>
      </c>
      <c r="C56" s="8">
        <v>135</v>
      </c>
      <c r="D56" s="8">
        <v>0</v>
      </c>
      <c r="E56" s="8"/>
      <c r="F56" s="10"/>
    </row>
    <row r="57" spans="1:9" s="3" customFormat="1">
      <c r="A57" s="7" t="s">
        <v>41</v>
      </c>
      <c r="B57" s="8">
        <f>109+22+5</f>
        <v>136</v>
      </c>
      <c r="C57" s="8">
        <f>213+15+34+34</f>
        <v>296</v>
      </c>
      <c r="D57" s="8">
        <v>300</v>
      </c>
      <c r="E57" s="8"/>
      <c r="F57" s="10"/>
    </row>
    <row r="58" spans="1:9" s="3" customFormat="1">
      <c r="A58" s="29" t="s">
        <v>42</v>
      </c>
      <c r="B58" s="31">
        <f>SUM(B53:B57)</f>
        <v>197</v>
      </c>
      <c r="C58" s="31">
        <f>SUM(C53:C57)</f>
        <v>431</v>
      </c>
      <c r="D58" s="31">
        <f>SUM(D53:D57)</f>
        <v>300</v>
      </c>
      <c r="E58" s="31">
        <f>SUM(E53:E57)</f>
        <v>0</v>
      </c>
      <c r="F58" s="77"/>
    </row>
    <row r="59" spans="1:9" s="3" customFormat="1">
      <c r="A59" s="29" t="s">
        <v>43</v>
      </c>
      <c r="B59" s="31">
        <f>B42+B51-B58</f>
        <v>14285</v>
      </c>
      <c r="C59" s="31">
        <f>C42+C51-C58</f>
        <v>18688</v>
      </c>
      <c r="D59" s="31">
        <f>D42+D51-D58</f>
        <v>14840.407335824004</v>
      </c>
      <c r="E59" s="31">
        <f>E42+E51-E58</f>
        <v>-2840</v>
      </c>
      <c r="F59" s="77"/>
      <c r="H59" s="10"/>
    </row>
    <row r="60" spans="1:9" s="3" customFormat="1">
      <c r="A60" s="7" t="s">
        <v>149</v>
      </c>
      <c r="B60" s="8">
        <v>3523</v>
      </c>
      <c r="C60" s="8">
        <v>3070</v>
      </c>
      <c r="D60" s="8">
        <f>I60*D59</f>
        <v>3710.101833956001</v>
      </c>
      <c r="E60" s="8"/>
      <c r="F60" s="10"/>
      <c r="G60" s="91">
        <f>B60/$B$59</f>
        <v>0.24662233111655582</v>
      </c>
      <c r="H60" s="91">
        <f>C60/$C$59</f>
        <v>0.1642765410958904</v>
      </c>
      <c r="I60" s="68">
        <v>0.25</v>
      </c>
    </row>
    <row r="61" spans="1:9" s="3" customFormat="1">
      <c r="A61" s="7" t="s">
        <v>150</v>
      </c>
      <c r="B61" s="8">
        <v>137</v>
      </c>
      <c r="C61" s="8">
        <v>-10</v>
      </c>
      <c r="D61" s="8">
        <f>I61*D59</f>
        <v>148.40407335824005</v>
      </c>
      <c r="E61" s="8"/>
      <c r="F61" s="10"/>
      <c r="G61" s="91">
        <f>B61/B59</f>
        <v>9.5904795239761982E-3</v>
      </c>
      <c r="H61" s="91">
        <f>C61/C59</f>
        <v>-5.3510273972602737E-4</v>
      </c>
      <c r="I61" s="68">
        <v>0.01</v>
      </c>
    </row>
    <row r="62" spans="1:9" s="3" customFormat="1">
      <c r="A62" s="29" t="s">
        <v>44</v>
      </c>
      <c r="B62" s="31">
        <f>B59-B60-B61</f>
        <v>10625</v>
      </c>
      <c r="C62" s="31">
        <f>C59-C60-C61</f>
        <v>15628</v>
      </c>
      <c r="D62" s="31">
        <f>D59-D60-D61</f>
        <v>10981.901428509762</v>
      </c>
      <c r="E62" s="31">
        <f>E59-E60-E61</f>
        <v>-2840</v>
      </c>
      <c r="F62" s="77"/>
    </row>
    <row r="63" spans="1:9" s="3" customFormat="1">
      <c r="A63" s="29" t="s">
        <v>45</v>
      </c>
      <c r="B63" s="33">
        <f>B62/B10</f>
        <v>0.18019163910794539</v>
      </c>
      <c r="C63" s="33">
        <f>C62/C10</f>
        <v>0.25488053494251001</v>
      </c>
      <c r="D63" s="33">
        <f>D62/D10</f>
        <v>0.17068636527854672</v>
      </c>
      <c r="E63" s="33" t="e">
        <f>E62/E10</f>
        <v>#DIV/0!</v>
      </c>
      <c r="F63" s="84"/>
    </row>
    <row r="64" spans="1:9" s="3" customFormat="1">
      <c r="A64" s="7" t="s">
        <v>46</v>
      </c>
      <c r="B64" s="8">
        <v>12453</v>
      </c>
      <c r="C64" s="8">
        <v>10103</v>
      </c>
      <c r="D64" s="8">
        <f>I64*D62</f>
        <v>9883.7112856587864</v>
      </c>
      <c r="E64" s="8">
        <v>0</v>
      </c>
      <c r="F64" s="10"/>
      <c r="I64" s="68">
        <v>0.9</v>
      </c>
    </row>
    <row r="65" spans="1:9" s="3" customFormat="1">
      <c r="A65" s="7" t="s">
        <v>47</v>
      </c>
      <c r="B65" s="120">
        <f>B64/B62</f>
        <v>1.1720470588235294</v>
      </c>
      <c r="C65" s="120">
        <f>C64/C62</f>
        <v>0.64646787816739182</v>
      </c>
      <c r="D65" s="120">
        <f>D64/D62</f>
        <v>0.9</v>
      </c>
      <c r="E65" s="120">
        <f>E64/E62</f>
        <v>0</v>
      </c>
      <c r="F65" s="69"/>
    </row>
    <row r="66" spans="1:9" s="3" customFormat="1">
      <c r="A66" s="29" t="s">
        <v>48</v>
      </c>
      <c r="B66" s="31">
        <f>B62-B64</f>
        <v>-1828</v>
      </c>
      <c r="C66" s="31">
        <f>C62-C64</f>
        <v>5525</v>
      </c>
      <c r="D66" s="31">
        <f>D62-D64</f>
        <v>1098.1901428509755</v>
      </c>
      <c r="E66" s="31">
        <f>E62-E64</f>
        <v>-2840</v>
      </c>
      <c r="F66" s="77"/>
    </row>
    <row r="67" spans="1:9" s="3" customFormat="1" ht="9" customHeight="1">
      <c r="A67" s="7"/>
      <c r="B67" s="20" t="s">
        <v>3</v>
      </c>
      <c r="C67" s="20" t="s">
        <v>3</v>
      </c>
      <c r="D67" s="20" t="s">
        <v>3</v>
      </c>
      <c r="E67" s="20" t="s">
        <v>3</v>
      </c>
      <c r="F67" s="77"/>
    </row>
    <row r="68" spans="1:9" s="3" customFormat="1" ht="9.75" customHeight="1">
      <c r="A68" s="7"/>
      <c r="B68" s="20"/>
      <c r="C68" s="20"/>
      <c r="D68" s="20"/>
      <c r="E68" s="20"/>
      <c r="F68" s="77"/>
    </row>
    <row r="69" spans="1:9" s="3" customFormat="1">
      <c r="A69" s="7"/>
      <c r="B69" s="20"/>
      <c r="C69" s="20"/>
      <c r="D69" s="20"/>
      <c r="E69" s="20"/>
      <c r="F69" s="77"/>
    </row>
    <row r="70" spans="1:9" s="3" customFormat="1" ht="12">
      <c r="A70" s="21" t="s">
        <v>49</v>
      </c>
      <c r="B70" s="20"/>
      <c r="C70" s="20"/>
      <c r="D70" s="20"/>
      <c r="E70" s="20"/>
      <c r="F70" s="77"/>
    </row>
    <row r="71" spans="1:9" s="3" customFormat="1">
      <c r="A71" s="17" t="s">
        <v>50</v>
      </c>
      <c r="B71" s="22">
        <f t="shared" ref="B71:E72" si="0">+B2</f>
        <v>2025</v>
      </c>
      <c r="C71" s="22">
        <f t="shared" si="0"/>
        <v>2026</v>
      </c>
      <c r="D71" s="22">
        <f t="shared" si="0"/>
        <v>2027</v>
      </c>
      <c r="E71" s="22">
        <f t="shared" si="0"/>
        <v>2028</v>
      </c>
      <c r="F71" s="87"/>
    </row>
    <row r="72" spans="1:9" s="3" customFormat="1">
      <c r="A72" s="17" t="s">
        <v>51</v>
      </c>
      <c r="B72" s="23" t="str">
        <f t="shared" si="0"/>
        <v>Actuals</v>
      </c>
      <c r="C72" s="23" t="str">
        <f t="shared" si="0"/>
        <v>Actuals</v>
      </c>
      <c r="D72" s="23" t="str">
        <f t="shared" si="0"/>
        <v>Estimated</v>
      </c>
      <c r="E72" s="23" t="str">
        <f t="shared" si="0"/>
        <v>Projections</v>
      </c>
      <c r="F72" s="88"/>
    </row>
    <row r="73" spans="1:9" s="3" customFormat="1" ht="21.6">
      <c r="A73" s="24" t="s">
        <v>52</v>
      </c>
      <c r="B73" s="9"/>
      <c r="C73" s="9"/>
      <c r="D73" s="9"/>
      <c r="E73" s="9"/>
      <c r="F73" s="76"/>
    </row>
    <row r="74" spans="1:9" s="3" customFormat="1">
      <c r="A74" s="7" t="s">
        <v>53</v>
      </c>
      <c r="B74" s="8"/>
      <c r="C74" s="8"/>
      <c r="D74" s="8"/>
      <c r="E74" s="8"/>
      <c r="F74" s="10"/>
    </row>
    <row r="75" spans="1:9" s="3" customFormat="1">
      <c r="A75" s="7" t="s">
        <v>54</v>
      </c>
      <c r="B75" s="8"/>
      <c r="C75" s="8"/>
      <c r="D75" s="8"/>
      <c r="E75" s="8"/>
      <c r="F75" s="10"/>
    </row>
    <row r="76" spans="1:9" s="3" customFormat="1">
      <c r="A76" s="7" t="s">
        <v>55</v>
      </c>
      <c r="B76" s="8"/>
      <c r="C76" s="8"/>
      <c r="D76" s="8"/>
      <c r="E76" s="8"/>
      <c r="F76" s="10"/>
    </row>
    <row r="77" spans="1:9" s="3" customFormat="1">
      <c r="A77" s="29" t="s">
        <v>56</v>
      </c>
      <c r="B77" s="31">
        <f>B74+B75</f>
        <v>0</v>
      </c>
      <c r="C77" s="31">
        <f>C74+C75</f>
        <v>0</v>
      </c>
      <c r="D77" s="31">
        <f>D74+D75</f>
        <v>0</v>
      </c>
      <c r="E77" s="31">
        <f>E74+E75</f>
        <v>0</v>
      </c>
      <c r="F77" s="77"/>
    </row>
    <row r="78" spans="1:9" s="3" customFormat="1">
      <c r="A78" s="7" t="s">
        <v>57</v>
      </c>
      <c r="B78" s="122"/>
      <c r="C78" s="122"/>
      <c r="D78" s="122"/>
      <c r="E78" s="122"/>
      <c r="F78" s="10"/>
    </row>
    <row r="79" spans="1:9" s="3" customFormat="1">
      <c r="A79" s="7" t="s">
        <v>58</v>
      </c>
      <c r="B79" s="122">
        <f>231+10767</f>
        <v>10998</v>
      </c>
      <c r="C79" s="122">
        <f>396+12517</f>
        <v>12913</v>
      </c>
      <c r="D79" s="122">
        <f>I79*D35/365</f>
        <v>12691.016058473644</v>
      </c>
      <c r="E79" s="122"/>
      <c r="F79" s="10"/>
      <c r="G79" s="93">
        <f>B79/B35*365</f>
        <v>123.67843284715863</v>
      </c>
      <c r="H79" s="93">
        <f>C79/C35*365</f>
        <v>137.28499659047836</v>
      </c>
      <c r="I79" s="3">
        <v>130</v>
      </c>
    </row>
    <row r="80" spans="1:9" s="3" customFormat="1">
      <c r="A80" s="18" t="s">
        <v>59</v>
      </c>
      <c r="B80" s="122">
        <v>98</v>
      </c>
      <c r="C80" s="122">
        <v>139</v>
      </c>
      <c r="D80" s="122">
        <v>125</v>
      </c>
      <c r="E80" s="122"/>
      <c r="F80" s="10"/>
    </row>
    <row r="81" spans="1:6" s="3" customFormat="1">
      <c r="A81" s="7" t="s">
        <v>167</v>
      </c>
      <c r="B81" s="122">
        <v>1887</v>
      </c>
      <c r="C81" s="122">
        <v>0</v>
      </c>
      <c r="D81" s="122">
        <v>0</v>
      </c>
      <c r="E81" s="122"/>
      <c r="F81" s="10"/>
    </row>
    <row r="82" spans="1:6" s="3" customFormat="1">
      <c r="A82" s="7" t="s">
        <v>60</v>
      </c>
      <c r="B82" s="122">
        <v>250</v>
      </c>
      <c r="C82" s="122">
        <v>250</v>
      </c>
      <c r="D82" s="122">
        <v>250</v>
      </c>
      <c r="E82" s="122"/>
      <c r="F82" s="10"/>
    </row>
    <row r="83" spans="1:6" s="3" customFormat="1" ht="21.6">
      <c r="A83" s="18" t="s">
        <v>61</v>
      </c>
      <c r="B83" s="122">
        <v>823</v>
      </c>
      <c r="C83" s="122">
        <v>549</v>
      </c>
      <c r="D83" s="122">
        <v>500</v>
      </c>
      <c r="E83" s="122"/>
      <c r="F83" s="10"/>
    </row>
    <row r="84" spans="1:6" s="3" customFormat="1" ht="21.6">
      <c r="A84" s="18" t="s">
        <v>62</v>
      </c>
      <c r="B84" s="122"/>
      <c r="C84" s="122"/>
      <c r="D84" s="122"/>
      <c r="E84" s="122"/>
      <c r="F84" s="10"/>
    </row>
    <row r="85" spans="1:6" s="3" customFormat="1">
      <c r="A85" s="18" t="s">
        <v>139</v>
      </c>
      <c r="B85" s="122">
        <v>380</v>
      </c>
      <c r="C85" s="122">
        <v>331</v>
      </c>
      <c r="D85" s="122">
        <v>325</v>
      </c>
      <c r="E85" s="122"/>
      <c r="F85" s="10"/>
    </row>
    <row r="86" spans="1:6" s="3" customFormat="1">
      <c r="A86" s="7" t="s">
        <v>63</v>
      </c>
      <c r="B86" s="122"/>
      <c r="C86" s="122"/>
      <c r="D86" s="122"/>
      <c r="E86" s="122"/>
      <c r="F86" s="10"/>
    </row>
    <row r="87" spans="1:6" s="3" customFormat="1">
      <c r="A87" s="7" t="s">
        <v>133</v>
      </c>
      <c r="B87" s="122">
        <f>373+53</f>
        <v>426</v>
      </c>
      <c r="C87" s="122">
        <f>358+75</f>
        <v>433</v>
      </c>
      <c r="D87" s="122">
        <v>440</v>
      </c>
      <c r="E87" s="122"/>
      <c r="F87" s="10"/>
    </row>
    <row r="88" spans="1:6" s="3" customFormat="1">
      <c r="A88" s="7" t="s">
        <v>64</v>
      </c>
      <c r="B88" s="122">
        <v>93</v>
      </c>
      <c r="C88" s="122">
        <v>91</v>
      </c>
      <c r="D88" s="122">
        <v>90</v>
      </c>
      <c r="E88" s="122"/>
      <c r="F88" s="10"/>
    </row>
    <row r="89" spans="1:6" s="3" customFormat="1">
      <c r="A89" s="7" t="s">
        <v>65</v>
      </c>
      <c r="B89" s="122">
        <f>38+63+8+608</f>
        <v>717</v>
      </c>
      <c r="C89" s="122">
        <f>1+60+182</f>
        <v>243</v>
      </c>
      <c r="D89" s="122">
        <v>245</v>
      </c>
      <c r="E89" s="122"/>
      <c r="F89" s="10"/>
    </row>
    <row r="90" spans="1:6" s="3" customFormat="1">
      <c r="A90" s="7" t="s">
        <v>3</v>
      </c>
      <c r="B90" s="8"/>
      <c r="C90" s="8"/>
      <c r="D90" s="8"/>
      <c r="E90" s="8"/>
      <c r="F90" s="10"/>
    </row>
    <row r="91" spans="1:6" s="3" customFormat="1">
      <c r="A91" s="7" t="s">
        <v>3</v>
      </c>
      <c r="B91" s="8"/>
      <c r="C91" s="8"/>
      <c r="D91" s="8"/>
      <c r="E91" s="8"/>
      <c r="F91" s="10"/>
    </row>
    <row r="92" spans="1:6" s="3" customFormat="1">
      <c r="A92" s="29" t="s">
        <v>66</v>
      </c>
      <c r="B92" s="31">
        <f>SUM(B78:B91)</f>
        <v>15672</v>
      </c>
      <c r="C92" s="31">
        <f>SUM(C78:C91)</f>
        <v>14949</v>
      </c>
      <c r="D92" s="31">
        <f>SUM(D78:D91)</f>
        <v>14666.016058473644</v>
      </c>
      <c r="E92" s="31">
        <f>SUM(E78:E91)</f>
        <v>0</v>
      </c>
      <c r="F92" s="77"/>
    </row>
    <row r="93" spans="1:6" s="3" customFormat="1">
      <c r="A93" s="29" t="s">
        <v>67</v>
      </c>
      <c r="B93" s="31">
        <f>B77+B92</f>
        <v>15672</v>
      </c>
      <c r="C93" s="31">
        <f>C77+C92</f>
        <v>14949</v>
      </c>
      <c r="D93" s="31">
        <f>D77+D92</f>
        <v>14666.016058473644</v>
      </c>
      <c r="E93" s="31">
        <f>E77+E92</f>
        <v>0</v>
      </c>
      <c r="F93" s="77"/>
    </row>
    <row r="94" spans="1:6" s="3" customFormat="1">
      <c r="A94" s="7"/>
      <c r="B94" s="8"/>
      <c r="C94" s="8"/>
      <c r="D94" s="8"/>
      <c r="E94" s="8"/>
      <c r="F94" s="10"/>
    </row>
    <row r="95" spans="1:6" s="3" customFormat="1">
      <c r="A95" s="121" t="s">
        <v>68</v>
      </c>
      <c r="B95" s="9"/>
      <c r="C95" s="9"/>
      <c r="D95" s="9"/>
      <c r="E95" s="9"/>
      <c r="F95" s="76"/>
    </row>
    <row r="96" spans="1:6" s="3" customFormat="1">
      <c r="A96" s="7" t="s">
        <v>69</v>
      </c>
      <c r="B96" s="8"/>
      <c r="C96" s="8"/>
      <c r="D96" s="8"/>
      <c r="E96" s="8"/>
      <c r="F96" s="10"/>
    </row>
    <row r="97" spans="1:8" s="3" customFormat="1">
      <c r="A97" s="18" t="s">
        <v>70</v>
      </c>
      <c r="B97" s="8"/>
      <c r="C97" s="8"/>
      <c r="D97" s="8"/>
      <c r="E97" s="8"/>
      <c r="F97" s="10"/>
    </row>
    <row r="98" spans="1:8" s="3" customFormat="1">
      <c r="A98" s="18" t="s">
        <v>71</v>
      </c>
      <c r="B98" s="8"/>
      <c r="C98" s="8"/>
      <c r="D98" s="8"/>
      <c r="E98" s="8"/>
      <c r="F98" s="10"/>
      <c r="G98" s="10"/>
      <c r="H98" s="10"/>
    </row>
    <row r="99" spans="1:8" s="3" customFormat="1">
      <c r="A99" s="7" t="s">
        <v>133</v>
      </c>
      <c r="B99" s="8">
        <f>352+416</f>
        <v>768</v>
      </c>
      <c r="C99" s="8">
        <f>294+536</f>
        <v>830</v>
      </c>
      <c r="D99" s="8">
        <v>875</v>
      </c>
      <c r="E99" s="8"/>
      <c r="F99" s="10"/>
    </row>
    <row r="100" spans="1:8" s="3" customFormat="1">
      <c r="A100" s="7" t="s">
        <v>140</v>
      </c>
      <c r="B100" s="8">
        <f>1093+6583+3592</f>
        <v>11268</v>
      </c>
      <c r="C100" s="8">
        <f>1127+6649+3685</f>
        <v>11461</v>
      </c>
      <c r="D100" s="8">
        <v>11500</v>
      </c>
      <c r="E100" s="8"/>
      <c r="F100" s="10"/>
    </row>
    <row r="101" spans="1:8" s="3" customFormat="1">
      <c r="A101" s="7" t="s">
        <v>138</v>
      </c>
      <c r="B101" s="8">
        <v>1157</v>
      </c>
      <c r="C101" s="8">
        <v>994</v>
      </c>
      <c r="D101" s="8">
        <v>975</v>
      </c>
      <c r="E101" s="8"/>
      <c r="F101" s="10"/>
    </row>
    <row r="102" spans="1:8" s="3" customFormat="1">
      <c r="A102" s="7" t="s">
        <v>64</v>
      </c>
      <c r="B102" s="8">
        <v>97</v>
      </c>
      <c r="C102" s="8">
        <v>85</v>
      </c>
      <c r="D102" s="8">
        <v>80</v>
      </c>
      <c r="E102" s="8"/>
      <c r="F102" s="10"/>
    </row>
    <row r="103" spans="1:8" s="3" customFormat="1">
      <c r="A103" s="7" t="s">
        <v>132</v>
      </c>
      <c r="B103" s="8">
        <f>193+5</f>
        <v>198</v>
      </c>
      <c r="C103" s="8">
        <f>242+193+5</f>
        <v>440</v>
      </c>
      <c r="D103" s="8">
        <v>450</v>
      </c>
      <c r="E103" s="8"/>
      <c r="F103" s="10"/>
    </row>
    <row r="104" spans="1:8" s="3" customFormat="1">
      <c r="A104" s="29" t="s">
        <v>72</v>
      </c>
      <c r="B104" s="31">
        <f>B96+B97+B98+B99+B100+B101+B102+B103</f>
        <v>13488</v>
      </c>
      <c r="C104" s="31">
        <f>C96+C97+C98+C99+C100+C101+C102+C103</f>
        <v>13810</v>
      </c>
      <c r="D104" s="31">
        <f>D96+D97+D98+D99+D100+D101+D102+D103</f>
        <v>13880</v>
      </c>
      <c r="E104" s="31">
        <f>E96+E97+E98+E99+E100+E101+E102+E103</f>
        <v>0</v>
      </c>
      <c r="F104" s="77"/>
    </row>
    <row r="105" spans="1:8" s="3" customFormat="1">
      <c r="A105" s="17" t="s">
        <v>73</v>
      </c>
      <c r="B105" s="123"/>
      <c r="C105" s="123"/>
      <c r="D105" s="123"/>
      <c r="E105" s="28"/>
      <c r="F105" s="76"/>
    </row>
    <row r="106" spans="1:8" s="3" customFormat="1">
      <c r="A106" s="7" t="s">
        <v>74</v>
      </c>
      <c r="B106" s="122">
        <v>235</v>
      </c>
      <c r="C106" s="122">
        <v>235</v>
      </c>
      <c r="D106" s="122">
        <v>235</v>
      </c>
      <c r="E106" s="8"/>
      <c r="F106" s="10"/>
    </row>
    <row r="107" spans="1:8" s="3" customFormat="1">
      <c r="A107" s="7" t="s">
        <v>75</v>
      </c>
      <c r="B107" s="122"/>
      <c r="C107" s="122"/>
      <c r="D107" s="122"/>
      <c r="E107" s="8"/>
      <c r="F107" s="10"/>
    </row>
    <row r="108" spans="1:8" s="3" customFormat="1">
      <c r="A108" s="7" t="s">
        <v>76</v>
      </c>
      <c r="B108" s="122"/>
      <c r="C108" s="129"/>
      <c r="D108" s="122"/>
      <c r="E108" s="8"/>
      <c r="F108" s="10"/>
    </row>
    <row r="109" spans="1:8" s="3" customFormat="1">
      <c r="A109" s="7" t="s">
        <v>77</v>
      </c>
      <c r="B109" s="122">
        <v>4</v>
      </c>
      <c r="C109" s="129">
        <v>4</v>
      </c>
      <c r="D109" s="122">
        <v>4</v>
      </c>
      <c r="E109" s="8"/>
      <c r="F109" s="10"/>
    </row>
    <row r="110" spans="1:8" s="3" customFormat="1">
      <c r="A110" s="7" t="s">
        <v>78</v>
      </c>
      <c r="B110" s="122">
        <v>8542</v>
      </c>
      <c r="C110" s="129">
        <v>8380</v>
      </c>
      <c r="D110" s="122">
        <f>C110+D66</f>
        <v>9478.1901428509755</v>
      </c>
      <c r="E110" s="8"/>
      <c r="F110" s="10"/>
    </row>
    <row r="111" spans="1:8" s="3" customFormat="1">
      <c r="A111" s="7" t="s">
        <v>79</v>
      </c>
      <c r="B111" s="122"/>
      <c r="C111" s="129"/>
      <c r="D111" s="122"/>
      <c r="E111" s="8"/>
      <c r="F111" s="10"/>
    </row>
    <row r="112" spans="1:8" s="3" customFormat="1">
      <c r="A112" s="7" t="s">
        <v>80</v>
      </c>
      <c r="B112" s="122">
        <v>40346</v>
      </c>
      <c r="C112" s="122">
        <v>40346</v>
      </c>
      <c r="D112" s="122">
        <v>40346</v>
      </c>
      <c r="E112" s="8"/>
      <c r="F112" s="10"/>
    </row>
    <row r="113" spans="1:6" s="3" customFormat="1">
      <c r="A113" s="7" t="s">
        <v>131</v>
      </c>
      <c r="B113" s="122">
        <v>9</v>
      </c>
      <c r="C113" s="122">
        <f>9+216</f>
        <v>225</v>
      </c>
      <c r="D113" s="122">
        <f>9+216</f>
        <v>225</v>
      </c>
      <c r="E113" s="8"/>
      <c r="F113" s="10"/>
    </row>
    <row r="114" spans="1:6" s="3" customFormat="1">
      <c r="A114" s="7" t="s">
        <v>81</v>
      </c>
      <c r="B114" s="122">
        <v>6</v>
      </c>
      <c r="C114" s="122">
        <v>6</v>
      </c>
      <c r="D114" s="122">
        <v>6</v>
      </c>
      <c r="E114" s="8"/>
      <c r="F114" s="10"/>
    </row>
    <row r="115" spans="1:6" s="3" customFormat="1">
      <c r="A115" s="7" t="s">
        <v>130</v>
      </c>
      <c r="B115" s="122">
        <v>11</v>
      </c>
      <c r="C115" s="122">
        <v>27</v>
      </c>
      <c r="D115" s="122">
        <v>27</v>
      </c>
      <c r="E115" s="8"/>
      <c r="F115" s="10"/>
    </row>
    <row r="116" spans="1:6" s="3" customFormat="1">
      <c r="A116" s="29" t="s">
        <v>82</v>
      </c>
      <c r="B116" s="31">
        <f>B106+B107+B108+B109+B110+B111+B112+B113+B114+B115</f>
        <v>49153</v>
      </c>
      <c r="C116" s="31">
        <f>C106+C107+C108+C109+C110+C111+C112+C113+C114+C115</f>
        <v>49223</v>
      </c>
      <c r="D116" s="31">
        <f>D106+D107+D108+D109+D110+D111+D112+D113+D114+D115</f>
        <v>50321.190142850974</v>
      </c>
      <c r="E116" s="31">
        <f>E106+E107+E108+E109+E110+E111+E112+E113+E114+E115</f>
        <v>0</v>
      </c>
      <c r="F116" s="77"/>
    </row>
    <row r="117" spans="1:6" s="3" customFormat="1">
      <c r="A117" s="39"/>
      <c r="B117" s="40">
        <f>B116+B104+B93</f>
        <v>78313</v>
      </c>
      <c r="C117" s="40">
        <f>C116+C104+C93</f>
        <v>77982</v>
      </c>
      <c r="D117" s="40">
        <f>D116+D104+D93</f>
        <v>78867.206201324618</v>
      </c>
      <c r="E117" s="40">
        <f>E116+E104+E93</f>
        <v>0</v>
      </c>
      <c r="F117" s="89"/>
    </row>
    <row r="118" spans="1:6" s="3" customFormat="1" ht="12" customHeight="1">
      <c r="A118" s="29" t="s">
        <v>83</v>
      </c>
      <c r="B118" s="31">
        <f>B93+B104+B116</f>
        <v>78313</v>
      </c>
      <c r="C118" s="31">
        <f>C93+C104+C116</f>
        <v>77982</v>
      </c>
      <c r="D118" s="31">
        <f>D93+D104+D116</f>
        <v>78867.206201324618</v>
      </c>
      <c r="E118" s="31">
        <f>E93+E104+E116</f>
        <v>0</v>
      </c>
      <c r="F118" s="77"/>
    </row>
    <row r="119" spans="1:6" s="3" customFormat="1">
      <c r="A119" s="7"/>
      <c r="B119" s="8"/>
      <c r="C119" s="8"/>
      <c r="D119" s="8"/>
      <c r="E119" s="8"/>
      <c r="F119" s="10"/>
    </row>
    <row r="120" spans="1:6" s="3" customFormat="1">
      <c r="A120" s="16"/>
      <c r="B120" s="8"/>
      <c r="C120" s="8"/>
      <c r="D120" s="8"/>
      <c r="E120" s="8"/>
      <c r="F120" s="10"/>
    </row>
    <row r="121" spans="1:6" s="3" customFormat="1">
      <c r="A121" s="17" t="s">
        <v>3</v>
      </c>
      <c r="B121" s="20" t="s">
        <v>3</v>
      </c>
      <c r="C121" s="20" t="s">
        <v>3</v>
      </c>
      <c r="D121" s="20" t="s">
        <v>3</v>
      </c>
      <c r="E121" s="20" t="s">
        <v>3</v>
      </c>
      <c r="F121" s="77"/>
    </row>
    <row r="122" spans="1:6" s="3" customFormat="1">
      <c r="A122" s="17" t="s">
        <v>84</v>
      </c>
      <c r="B122" s="22">
        <f t="shared" ref="B122:E123" si="1">+B2</f>
        <v>2025</v>
      </c>
      <c r="C122" s="22">
        <f t="shared" si="1"/>
        <v>2026</v>
      </c>
      <c r="D122" s="22">
        <f t="shared" si="1"/>
        <v>2027</v>
      </c>
      <c r="E122" s="22">
        <f t="shared" si="1"/>
        <v>2028</v>
      </c>
      <c r="F122" s="87"/>
    </row>
    <row r="123" spans="1:6" s="3" customFormat="1">
      <c r="A123" s="17" t="s">
        <v>85</v>
      </c>
      <c r="B123" s="23" t="str">
        <f t="shared" si="1"/>
        <v>Actuals</v>
      </c>
      <c r="C123" s="23" t="str">
        <f t="shared" si="1"/>
        <v>Actuals</v>
      </c>
      <c r="D123" s="23" t="str">
        <f t="shared" si="1"/>
        <v>Estimated</v>
      </c>
      <c r="E123" s="23" t="str">
        <f t="shared" si="1"/>
        <v>Projections</v>
      </c>
      <c r="F123" s="88"/>
    </row>
    <row r="124" spans="1:6" s="3" customFormat="1">
      <c r="A124" s="7" t="s">
        <v>86</v>
      </c>
      <c r="B124" s="8">
        <v>5947</v>
      </c>
      <c r="C124" s="8">
        <v>2286</v>
      </c>
      <c r="D124" s="127">
        <f>3289.98+18.26+0.1</f>
        <v>3308.34</v>
      </c>
      <c r="E124" s="8"/>
      <c r="F124" s="10"/>
    </row>
    <row r="125" spans="1:6" s="3" customFormat="1">
      <c r="A125" s="39" t="s">
        <v>87</v>
      </c>
      <c r="B125" s="42"/>
      <c r="C125" s="42"/>
      <c r="D125" s="42"/>
      <c r="E125" s="42"/>
      <c r="F125" s="76"/>
    </row>
    <row r="126" spans="1:6" s="3" customFormat="1">
      <c r="A126" s="7" t="s">
        <v>88</v>
      </c>
      <c r="B126" s="8">
        <f>2849</f>
        <v>2849</v>
      </c>
      <c r="C126" s="8">
        <f>1028</f>
        <v>1028</v>
      </c>
      <c r="D126" s="8">
        <v>1000</v>
      </c>
      <c r="E126" s="8"/>
      <c r="F126" s="10"/>
    </row>
    <row r="127" spans="1:6" s="3" customFormat="1">
      <c r="A127" s="7" t="s">
        <v>89</v>
      </c>
      <c r="B127" s="8">
        <f>765+1096</f>
        <v>1861</v>
      </c>
      <c r="C127" s="8">
        <f>321+2787+9</f>
        <v>3117</v>
      </c>
      <c r="D127" s="8">
        <v>2500</v>
      </c>
      <c r="E127" s="8"/>
      <c r="F127" s="10"/>
    </row>
    <row r="128" spans="1:6" s="3" customFormat="1">
      <c r="A128" s="29" t="s">
        <v>90</v>
      </c>
      <c r="B128" s="41">
        <f>+B129+B130+B163</f>
        <v>3450</v>
      </c>
      <c r="C128" s="41">
        <f>+C129+C130+C163</f>
        <v>3037</v>
      </c>
      <c r="D128" s="41">
        <f>+D129+D130+D163</f>
        <v>3525.4604109589036</v>
      </c>
      <c r="E128" s="41">
        <f>+E129+E130+E163</f>
        <v>0</v>
      </c>
      <c r="F128" s="85"/>
    </row>
    <row r="129" spans="1:10" s="3" customFormat="1">
      <c r="A129" s="18" t="s">
        <v>91</v>
      </c>
      <c r="B129" s="8">
        <v>3450</v>
      </c>
      <c r="C129" s="8">
        <v>3037</v>
      </c>
      <c r="D129" s="8">
        <f>I129*D10/365</f>
        <v>3525.4604109589036</v>
      </c>
      <c r="E129" s="8"/>
      <c r="F129" s="10"/>
      <c r="G129" s="124">
        <f>B129/B10*365</f>
        <v>21.355889086746377</v>
      </c>
      <c r="H129" s="124">
        <f>C129/C10*365</f>
        <v>18.078855092554839</v>
      </c>
      <c r="I129" s="3">
        <v>20</v>
      </c>
    </row>
    <row r="130" spans="1:10" s="3" customFormat="1">
      <c r="A130" s="18" t="s">
        <v>92</v>
      </c>
      <c r="B130" s="8"/>
      <c r="C130" s="8"/>
      <c r="D130" s="8"/>
      <c r="E130" s="8"/>
      <c r="F130" s="10"/>
    </row>
    <row r="131" spans="1:10" s="3" customFormat="1">
      <c r="A131" s="18" t="s">
        <v>3</v>
      </c>
      <c r="B131" s="8"/>
      <c r="C131" s="8"/>
      <c r="D131" s="8"/>
      <c r="E131" s="8"/>
      <c r="F131" s="10"/>
      <c r="G131" s="130"/>
      <c r="H131" s="130"/>
      <c r="I131" s="132"/>
      <c r="J131" s="130"/>
    </row>
    <row r="132" spans="1:10" s="3" customFormat="1">
      <c r="A132" s="29" t="s">
        <v>93</v>
      </c>
      <c r="B132" s="41">
        <f>SUM(B133:B139)</f>
        <v>4161</v>
      </c>
      <c r="C132" s="41">
        <f>SUM(C133:C139)</f>
        <v>4383</v>
      </c>
      <c r="D132" s="41">
        <f>SUM(D133:D139)</f>
        <v>4734.4027028250002</v>
      </c>
      <c r="E132" s="41">
        <f>SUM(E133:E139)</f>
        <v>0</v>
      </c>
      <c r="F132" s="85"/>
      <c r="G132" s="133">
        <f>B132/B35*365</f>
        <v>46.792685858976824</v>
      </c>
      <c r="H132" s="133">
        <f>C132/C35*365</f>
        <v>46.598012859604019</v>
      </c>
      <c r="I132" s="134">
        <f>D132/D35*365</f>
        <v>48.496696287473881</v>
      </c>
      <c r="J132" s="130"/>
    </row>
    <row r="133" spans="1:10" s="3" customFormat="1">
      <c r="A133" s="7" t="s">
        <v>94</v>
      </c>
      <c r="B133" s="8">
        <f>1754</f>
        <v>1754</v>
      </c>
      <c r="C133" s="8">
        <f>1563</f>
        <v>1563</v>
      </c>
      <c r="D133" s="8">
        <f>I133*D17</f>
        <v>1608.4913125</v>
      </c>
      <c r="E133" s="8"/>
      <c r="F133" s="10"/>
      <c r="G133" s="125">
        <f>B133/B17</f>
        <v>0.1228893715406712</v>
      </c>
      <c r="H133" s="125">
        <f>C133/C17</f>
        <v>9.6900185988840676E-2</v>
      </c>
      <c r="I133" s="135">
        <v>0.1</v>
      </c>
      <c r="J133" s="130"/>
    </row>
    <row r="134" spans="1:10" s="3" customFormat="1">
      <c r="A134" s="7" t="s">
        <v>172</v>
      </c>
      <c r="B134" s="8">
        <v>123</v>
      </c>
      <c r="C134" s="8">
        <v>124</v>
      </c>
      <c r="D134" s="8">
        <f>I134*D20</f>
        <v>149.91139032500001</v>
      </c>
      <c r="E134" s="8"/>
      <c r="F134" s="10"/>
      <c r="G134" s="126">
        <f>B134/B20</f>
        <v>4.0986337887370876E-2</v>
      </c>
      <c r="H134" s="126">
        <f>C134/C20</f>
        <v>4.7765793528505393E-2</v>
      </c>
      <c r="I134" s="135">
        <v>0.05</v>
      </c>
      <c r="J134" s="130"/>
    </row>
    <row r="135" spans="1:10" s="3" customFormat="1">
      <c r="A135" s="7" t="s">
        <v>95</v>
      </c>
      <c r="B135" s="11">
        <f>+B30</f>
        <v>488</v>
      </c>
      <c r="C135" s="11">
        <f>+C30</f>
        <v>463</v>
      </c>
      <c r="D135" s="11">
        <f>+D30</f>
        <v>440</v>
      </c>
      <c r="E135" s="11">
        <f>+E30</f>
        <v>0</v>
      </c>
      <c r="F135" s="85"/>
      <c r="G135" s="130"/>
      <c r="H135" s="130"/>
      <c r="I135" s="132"/>
      <c r="J135" s="130"/>
    </row>
    <row r="136" spans="1:10" s="3" customFormat="1">
      <c r="A136" s="7" t="s">
        <v>96</v>
      </c>
      <c r="B136" s="11">
        <f>+B34</f>
        <v>1668</v>
      </c>
      <c r="C136" s="11">
        <f>+C34</f>
        <v>2101</v>
      </c>
      <c r="D136" s="11">
        <f>+D34</f>
        <v>2400</v>
      </c>
      <c r="E136" s="11">
        <f>+E34</f>
        <v>0</v>
      </c>
      <c r="F136" s="85"/>
      <c r="G136" s="133"/>
      <c r="H136" s="130"/>
      <c r="I136" s="130"/>
      <c r="J136" s="130"/>
    </row>
    <row r="137" spans="1:10" s="3" customFormat="1">
      <c r="A137" s="7" t="s">
        <v>97</v>
      </c>
      <c r="B137" s="8"/>
      <c r="C137" s="8"/>
      <c r="D137" s="8"/>
      <c r="E137" s="8"/>
      <c r="F137" s="10"/>
      <c r="G137" s="91"/>
    </row>
    <row r="138" spans="1:10" s="3" customFormat="1">
      <c r="A138" s="7" t="s">
        <v>98</v>
      </c>
      <c r="B138" s="8"/>
      <c r="C138" s="8"/>
      <c r="D138" s="8"/>
      <c r="E138" s="8"/>
      <c r="F138" s="10"/>
    </row>
    <row r="139" spans="1:10" s="3" customFormat="1">
      <c r="A139" s="7" t="s">
        <v>99</v>
      </c>
      <c r="B139" s="8">
        <v>128</v>
      </c>
      <c r="C139" s="8">
        <v>132</v>
      </c>
      <c r="D139" s="128">
        <v>136</v>
      </c>
      <c r="E139" s="8"/>
      <c r="F139" s="10"/>
    </row>
    <row r="140" spans="1:10" s="3" customFormat="1">
      <c r="A140" s="7" t="s">
        <v>100</v>
      </c>
      <c r="B140" s="8"/>
      <c r="C140" s="8"/>
      <c r="D140" s="8"/>
      <c r="E140" s="8"/>
      <c r="F140" s="10"/>
    </row>
    <row r="141" spans="1:10" s="3" customFormat="1">
      <c r="A141" s="29" t="s">
        <v>101</v>
      </c>
      <c r="B141" s="42"/>
      <c r="C141" s="42"/>
      <c r="D141" s="42"/>
      <c r="E141" s="42"/>
      <c r="F141" s="76"/>
    </row>
    <row r="142" spans="1:10" s="3" customFormat="1">
      <c r="A142" s="7" t="s">
        <v>102</v>
      </c>
      <c r="B142" s="8">
        <v>44</v>
      </c>
      <c r="C142" s="8">
        <v>22</v>
      </c>
      <c r="D142" s="8">
        <v>33</v>
      </c>
      <c r="E142" s="8"/>
      <c r="F142" s="10"/>
    </row>
    <row r="143" spans="1:10" s="3" customFormat="1">
      <c r="A143" s="7" t="s">
        <v>103</v>
      </c>
      <c r="B143" s="8">
        <v>0</v>
      </c>
      <c r="C143" s="8">
        <v>154</v>
      </c>
      <c r="D143" s="8">
        <v>0</v>
      </c>
      <c r="E143" s="8"/>
      <c r="F143" s="10"/>
    </row>
    <row r="144" spans="1:10" s="3" customFormat="1">
      <c r="A144" s="7" t="s">
        <v>104</v>
      </c>
      <c r="B144" s="8">
        <f>250+253+48+57+171+896+23</f>
        <v>1698</v>
      </c>
      <c r="C144" s="8">
        <f>250+285+255+417+54+102+1097+14</f>
        <v>2474</v>
      </c>
      <c r="D144" s="8">
        <v>2100</v>
      </c>
      <c r="E144" s="8"/>
      <c r="F144" s="10"/>
    </row>
    <row r="145" spans="1:6" s="3" customFormat="1">
      <c r="A145" s="7" t="s">
        <v>105</v>
      </c>
      <c r="B145" s="8">
        <v>45</v>
      </c>
      <c r="C145" s="8">
        <v>49</v>
      </c>
      <c r="D145" s="8">
        <v>55</v>
      </c>
      <c r="E145" s="8"/>
      <c r="F145" s="10"/>
    </row>
    <row r="146" spans="1:6" s="3" customFormat="1">
      <c r="A146" s="7" t="s">
        <v>106</v>
      </c>
      <c r="B146" s="8">
        <v>844</v>
      </c>
      <c r="C146" s="8">
        <v>985</v>
      </c>
      <c r="D146" s="8">
        <v>1000</v>
      </c>
      <c r="E146" s="8"/>
      <c r="F146" s="10"/>
    </row>
    <row r="147" spans="1:6" s="3" customFormat="1">
      <c r="A147" s="29" t="s">
        <v>107</v>
      </c>
      <c r="B147" s="31">
        <f>+B146+B145+B144+B143+B142+B140+B139+B138+B137+B136+B135+B134+B133+B131+B130+B129+B127+B126+B124</f>
        <v>20899</v>
      </c>
      <c r="C147" s="31">
        <f>+C146+C145+C144+C143+C142+C140+C139+C138+C137+C136+C135+C134+C133+C131+C130+C129+C127+C126+C124</f>
        <v>17535</v>
      </c>
      <c r="D147" s="31">
        <f>+D146+D145+D144+D143+D142+D140+D139+D138+D137+D136+D135+D134+D133+D131+D130+D129+D127+D126+D124</f>
        <v>18256.203113783904</v>
      </c>
      <c r="E147" s="31">
        <f>+E146+E145+E144+E143+E142+E140+E139+E138+E137+E136+E135+E134+E133+E131+E130+E129+E127+E126+E124</f>
        <v>0</v>
      </c>
      <c r="F147" s="77"/>
    </row>
    <row r="148" spans="1:6" s="3" customFormat="1">
      <c r="A148" s="17" t="s">
        <v>108</v>
      </c>
      <c r="B148" s="9"/>
      <c r="C148" s="9"/>
      <c r="D148" s="9"/>
      <c r="E148" s="9"/>
      <c r="F148" s="76"/>
    </row>
    <row r="149" spans="1:6" s="3" customFormat="1">
      <c r="A149" s="7" t="s">
        <v>141</v>
      </c>
      <c r="B149" s="8">
        <f>465+112</f>
        <v>577</v>
      </c>
      <c r="C149" s="8">
        <f>472+108</f>
        <v>580</v>
      </c>
      <c r="D149" s="8">
        <v>585</v>
      </c>
      <c r="E149" s="8"/>
      <c r="F149" s="10"/>
    </row>
    <row r="150" spans="1:6" s="3" customFormat="1">
      <c r="A150" s="7" t="s">
        <v>109</v>
      </c>
      <c r="B150" s="8">
        <f>1957+499</f>
        <v>2456</v>
      </c>
      <c r="C150" s="8">
        <f>2042+539</f>
        <v>2581</v>
      </c>
      <c r="D150" s="8">
        <v>2675</v>
      </c>
      <c r="E150" s="8"/>
      <c r="F150" s="10"/>
    </row>
    <row r="151" spans="1:6" s="3" customFormat="1">
      <c r="A151" s="7" t="s">
        <v>110</v>
      </c>
      <c r="B151" s="8">
        <f>3591+904</f>
        <v>4495</v>
      </c>
      <c r="C151" s="8">
        <f>3152+664</f>
        <v>3816</v>
      </c>
      <c r="D151" s="8">
        <v>3800</v>
      </c>
      <c r="E151" s="8"/>
      <c r="F151" s="10"/>
    </row>
    <row r="152" spans="1:6" s="3" customFormat="1">
      <c r="A152" s="7" t="s">
        <v>111</v>
      </c>
      <c r="B152" s="8">
        <f>52</f>
        <v>52</v>
      </c>
      <c r="C152" s="8">
        <f>90</f>
        <v>90</v>
      </c>
      <c r="D152" s="8">
        <v>100</v>
      </c>
      <c r="E152" s="8"/>
      <c r="F152" s="10"/>
    </row>
    <row r="153" spans="1:6" s="3" customFormat="1">
      <c r="A153" s="7" t="s">
        <v>142</v>
      </c>
      <c r="B153" s="8">
        <f>62</f>
        <v>62</v>
      </c>
      <c r="C153" s="8">
        <f>70</f>
        <v>70</v>
      </c>
      <c r="D153" s="8">
        <v>72</v>
      </c>
      <c r="E153" s="8"/>
      <c r="F153" s="10"/>
    </row>
    <row r="154" spans="1:6" s="3" customFormat="1">
      <c r="A154" s="7" t="s">
        <v>143</v>
      </c>
      <c r="B154" s="8">
        <v>68</v>
      </c>
      <c r="C154" s="8">
        <v>54</v>
      </c>
      <c r="D154" s="8">
        <v>50</v>
      </c>
      <c r="E154" s="8"/>
      <c r="F154" s="10"/>
    </row>
    <row r="155" spans="1:6" s="3" customFormat="1">
      <c r="A155" s="7" t="s">
        <v>144</v>
      </c>
      <c r="B155" s="8">
        <v>956</v>
      </c>
      <c r="C155" s="8">
        <v>833</v>
      </c>
      <c r="D155" s="8">
        <v>900</v>
      </c>
      <c r="E155" s="8"/>
      <c r="F155" s="10"/>
    </row>
    <row r="156" spans="1:6" s="3" customFormat="1">
      <c r="A156" s="29" t="s">
        <v>112</v>
      </c>
      <c r="B156" s="31">
        <f>B149+B150+B151+B152+B153+B154+B155</f>
        <v>8666</v>
      </c>
      <c r="C156" s="31">
        <f>C149+C150+C151+C152+C153+C154+C155+C148</f>
        <v>8024</v>
      </c>
      <c r="D156" s="31">
        <f>D149+D150+D151+D152+D153+D154+D155+D148</f>
        <v>8182</v>
      </c>
      <c r="E156" s="31">
        <f>E149+E150+E151+E152+E153+E154+E155+E148</f>
        <v>0</v>
      </c>
      <c r="F156" s="77"/>
    </row>
    <row r="157" spans="1:6" s="3" customFormat="1">
      <c r="A157" s="17" t="s">
        <v>113</v>
      </c>
      <c r="B157" s="9"/>
      <c r="C157" s="9"/>
      <c r="D157" s="9"/>
      <c r="E157" s="9"/>
      <c r="F157" s="76"/>
    </row>
    <row r="158" spans="1:6" s="3" customFormat="1" ht="21.6">
      <c r="A158" s="18" t="s">
        <v>114</v>
      </c>
      <c r="B158" s="122">
        <v>986</v>
      </c>
      <c r="C158" s="122">
        <v>4632</v>
      </c>
      <c r="D158" s="122">
        <v>4632</v>
      </c>
      <c r="E158" s="8"/>
      <c r="F158" s="10"/>
    </row>
    <row r="159" spans="1:6" s="3" customFormat="1">
      <c r="A159" s="7" t="s">
        <v>115</v>
      </c>
      <c r="B159" s="122">
        <v>2</v>
      </c>
      <c r="C159" s="122">
        <v>111</v>
      </c>
      <c r="D159" s="122">
        <v>111</v>
      </c>
      <c r="E159" s="8"/>
      <c r="F159" s="10"/>
    </row>
    <row r="160" spans="1:6" s="3" customFormat="1">
      <c r="A160" s="18" t="s">
        <v>116</v>
      </c>
      <c r="B160" s="122"/>
      <c r="C160" s="122"/>
      <c r="D160" s="122"/>
      <c r="E160" s="8"/>
      <c r="F160" s="10"/>
    </row>
    <row r="161" spans="1:6" s="3" customFormat="1">
      <c r="A161" s="18" t="s">
        <v>129</v>
      </c>
      <c r="B161" s="122">
        <v>1144</v>
      </c>
      <c r="C161" s="122">
        <v>1078</v>
      </c>
      <c r="D161" s="122">
        <v>1111</v>
      </c>
      <c r="E161" s="8"/>
      <c r="F161" s="10"/>
    </row>
    <row r="162" spans="1:6" s="3" customFormat="1">
      <c r="A162" s="7" t="s">
        <v>117</v>
      </c>
      <c r="B162" s="122"/>
      <c r="C162" s="122"/>
      <c r="D162" s="122"/>
      <c r="E162" s="8"/>
      <c r="F162" s="10"/>
    </row>
    <row r="163" spans="1:6" s="3" customFormat="1">
      <c r="A163" s="7" t="s">
        <v>118</v>
      </c>
      <c r="B163" s="122"/>
      <c r="C163" s="122"/>
      <c r="D163" s="122"/>
      <c r="E163" s="8"/>
      <c r="F163" s="10"/>
    </row>
    <row r="164" spans="1:6" s="3" customFormat="1">
      <c r="A164" s="7" t="s">
        <v>119</v>
      </c>
      <c r="B164" s="122">
        <f>131+1</f>
        <v>132</v>
      </c>
      <c r="C164" s="122">
        <f>109</f>
        <v>109</v>
      </c>
      <c r="D164" s="122">
        <v>100</v>
      </c>
      <c r="E164" s="8"/>
      <c r="F164" s="10"/>
    </row>
    <row r="165" spans="1:6" s="3" customFormat="1">
      <c r="A165" s="7" t="s">
        <v>171</v>
      </c>
      <c r="B165" s="122">
        <f>332+343</f>
        <v>675</v>
      </c>
      <c r="C165" s="122">
        <f>343+340</f>
        <v>683</v>
      </c>
      <c r="D165" s="122">
        <v>690</v>
      </c>
      <c r="E165" s="8"/>
      <c r="F165" s="10"/>
    </row>
    <row r="166" spans="1:6" s="3" customFormat="1" ht="21.6">
      <c r="A166" s="18" t="s">
        <v>120</v>
      </c>
      <c r="B166" s="122">
        <f>608+4</f>
        <v>612</v>
      </c>
      <c r="C166" s="122">
        <f>574+8</f>
        <v>582</v>
      </c>
      <c r="D166" s="122">
        <v>560</v>
      </c>
      <c r="E166" s="8"/>
      <c r="F166" s="10"/>
    </row>
    <row r="167" spans="1:6" s="3" customFormat="1">
      <c r="A167" s="29" t="s">
        <v>121</v>
      </c>
      <c r="B167" s="31">
        <f>B158+B159+B160+B161+B162+B163+B164+B165+B166</f>
        <v>3551</v>
      </c>
      <c r="C167" s="31">
        <f>C158+C159+C160+C161+C162+C163+C164+C165+C166</f>
        <v>7195</v>
      </c>
      <c r="D167" s="31">
        <f>D158+D159+D160+D161+D162+D163+D164+D165+D166</f>
        <v>7204</v>
      </c>
      <c r="E167" s="31">
        <f>E158+E159+E160+E161+E162+E163+E164+E165+E166</f>
        <v>0</v>
      </c>
      <c r="F167" s="77"/>
    </row>
    <row r="168" spans="1:6" s="3" customFormat="1" ht="32.4">
      <c r="A168" s="18" t="s">
        <v>122</v>
      </c>
      <c r="B168" s="8">
        <f>17316+27881</f>
        <v>45197</v>
      </c>
      <c r="C168" s="8">
        <f>17281+27947</f>
        <v>45228</v>
      </c>
      <c r="D168" s="122">
        <v>45225</v>
      </c>
      <c r="E168" s="8"/>
      <c r="F168" s="10"/>
    </row>
    <row r="169" spans="1:6" s="3" customFormat="1">
      <c r="A169" s="29" t="s">
        <v>123</v>
      </c>
      <c r="B169" s="31">
        <f>B147+B156+B167+B168</f>
        <v>78313</v>
      </c>
      <c r="C169" s="31">
        <f>C147+C156+C167+C168</f>
        <v>77982</v>
      </c>
      <c r="D169" s="31">
        <f>D147+D156+D167+D168</f>
        <v>78867.203113783908</v>
      </c>
      <c r="E169" s="31">
        <f>E147+E156+E167+E168</f>
        <v>0</v>
      </c>
      <c r="F169" s="77"/>
    </row>
    <row r="170" spans="1:6" s="3" customFormat="1">
      <c r="A170" s="7"/>
      <c r="B170" s="8"/>
      <c r="C170" s="8"/>
      <c r="D170" s="8"/>
      <c r="E170" s="8"/>
      <c r="F170" s="10"/>
    </row>
    <row r="171" spans="1:6" s="38" customFormat="1" ht="15.75" customHeight="1">
      <c r="A171" s="36" t="s">
        <v>124</v>
      </c>
      <c r="B171" s="37">
        <f>B118-B169</f>
        <v>0</v>
      </c>
      <c r="C171" s="37">
        <f>C118-C169</f>
        <v>0</v>
      </c>
      <c r="D171" s="37">
        <f>D118-D169</f>
        <v>3.08754071011208E-3</v>
      </c>
      <c r="E171" s="37">
        <f>E118-E169</f>
        <v>0</v>
      </c>
      <c r="F171" s="90"/>
    </row>
    <row r="172" spans="1:6" s="3" customFormat="1">
      <c r="B172" s="10"/>
      <c r="C172" s="10"/>
    </row>
    <row r="173" spans="1:6" ht="17.25" customHeight="1">
      <c r="B173" s="70"/>
      <c r="C173" s="70"/>
    </row>
    <row r="174" spans="1:6" ht="8.4" customHeight="1"/>
    <row r="175" spans="1:6" ht="8.4" customHeight="1"/>
    <row r="176" spans="1:6" ht="8.4" customHeight="1"/>
    <row r="177" ht="8.4" customHeight="1"/>
    <row r="178" ht="8.4" customHeight="1"/>
    <row r="179" ht="8.4" customHeight="1"/>
    <row r="180" ht="8.4" customHeight="1"/>
    <row r="181" ht="8.4" customHeight="1"/>
    <row r="182" ht="8.4" customHeight="1"/>
    <row r="183" ht="8.4" customHeight="1"/>
    <row r="184" ht="8.4" customHeight="1"/>
    <row r="185" ht="8.4" customHeight="1"/>
    <row r="186" ht="8.4" customHeight="1"/>
    <row r="187" ht="8.4" customHeight="1"/>
    <row r="188" ht="8.4" customHeight="1"/>
    <row r="189" ht="8.4" customHeight="1"/>
    <row r="190" ht="8.4" customHeight="1"/>
    <row r="191" ht="8.4" customHeight="1"/>
    <row r="192" ht="8.4" customHeight="1"/>
    <row r="193" ht="8.4" customHeight="1"/>
    <row r="194" ht="8.4" customHeight="1"/>
    <row r="195" ht="8.4" customHeight="1"/>
    <row r="196" ht="8.4" customHeight="1"/>
    <row r="197" ht="8.4" customHeight="1"/>
    <row r="198" ht="8.4" customHeight="1"/>
    <row r="199" ht="8.4" customHeight="1"/>
    <row r="200" ht="8.4" customHeight="1"/>
    <row r="201" ht="8.4" customHeight="1"/>
    <row r="202" ht="8.4" customHeight="1"/>
    <row r="203" ht="8.4" customHeight="1"/>
    <row r="204" ht="8.4" customHeight="1"/>
    <row r="205" ht="8.4" customHeight="1"/>
    <row r="206" ht="8.4" customHeight="1"/>
    <row r="207" ht="8.4" customHeight="1"/>
    <row r="208" ht="8.4" customHeight="1"/>
    <row r="209" ht="8.4" customHeight="1"/>
    <row r="210" ht="8.4" customHeight="1"/>
    <row r="211" ht="8.4" customHeight="1"/>
    <row r="212" ht="8.4" customHeight="1"/>
    <row r="213" ht="8.4" customHeight="1"/>
    <row r="214" ht="8.4" customHeight="1"/>
    <row r="215" ht="8.4" customHeight="1"/>
    <row r="216" ht="8.4" customHeight="1"/>
    <row r="217" ht="8.4" customHeight="1"/>
    <row r="218" ht="8.4" customHeight="1"/>
    <row r="219" ht="8.4" customHeight="1"/>
    <row r="220" ht="8.4" customHeight="1"/>
    <row r="221" ht="8.4" customHeight="1"/>
    <row r="222" ht="8.4" customHeight="1"/>
    <row r="223" ht="8.4" customHeight="1"/>
    <row r="224" ht="8.4" customHeight="1"/>
    <row r="225" spans="2:2" ht="8.4" customHeight="1"/>
    <row r="226" spans="2:2" ht="8.4" customHeight="1"/>
    <row r="227" spans="2:2" ht="8.4" customHeight="1"/>
    <row r="228" spans="2:2" ht="8.4" customHeight="1"/>
    <row r="229" spans="2:2" ht="17.399999999999999" customHeight="1">
      <c r="B229" s="94"/>
    </row>
    <row r="230" spans="2:2" ht="8.4" customHeight="1"/>
    <row r="231" spans="2:2" ht="8.4" customHeight="1"/>
    <row r="232" spans="2:2" ht="8.4" customHeight="1"/>
    <row r="233" spans="2:2" ht="8.4" customHeight="1"/>
    <row r="234" spans="2:2" ht="8.4" customHeight="1"/>
    <row r="235" spans="2:2" ht="8.4" customHeight="1"/>
    <row r="236" spans="2:2" ht="8.4" customHeight="1"/>
    <row r="237" spans="2:2" ht="8.4" customHeight="1"/>
    <row r="238" spans="2:2" ht="8.4" customHeight="1"/>
    <row r="239" spans="2:2" ht="8.4" customHeight="1"/>
    <row r="240" spans="2:2" ht="8.4" customHeight="1"/>
    <row r="241" ht="8.4" customHeight="1"/>
    <row r="242" ht="8.4" customHeight="1"/>
    <row r="243" ht="8.4" customHeight="1"/>
    <row r="244" ht="8.4" customHeight="1"/>
    <row r="245" ht="8.4" customHeight="1"/>
    <row r="246" ht="8.4" customHeight="1"/>
    <row r="247" ht="8.4" customHeight="1"/>
    <row r="248" ht="8.4" customHeight="1"/>
    <row r="249" ht="8.4" customHeight="1"/>
    <row r="250" ht="8.4" customHeight="1"/>
    <row r="251" ht="8.4" customHeight="1"/>
    <row r="252" ht="8.4" customHeight="1"/>
    <row r="253" ht="8.4" customHeight="1"/>
    <row r="254" ht="8.4" customHeight="1"/>
    <row r="255" ht="8.4" customHeight="1"/>
    <row r="256" ht="8.4" customHeight="1"/>
    <row r="257" ht="8.4" customHeight="1"/>
    <row r="258" ht="8.4" customHeight="1"/>
    <row r="259" ht="8.4" customHeight="1"/>
    <row r="260" ht="8.4" customHeight="1"/>
    <row r="261" ht="8.4" customHeight="1"/>
    <row r="262" ht="8.4" customHeight="1"/>
    <row r="263" ht="8.4" customHeight="1"/>
    <row r="264" ht="8.4" customHeight="1"/>
    <row r="265" ht="8.4" customHeight="1"/>
    <row r="266" ht="8.4" customHeight="1"/>
    <row r="267" ht="8.4" customHeight="1"/>
    <row r="268" ht="8.4" customHeight="1"/>
    <row r="269" ht="8.4" customHeight="1"/>
    <row r="270" ht="8.4" customHeight="1"/>
    <row r="271" ht="8.4" customHeight="1"/>
    <row r="272" ht="8.4" customHeight="1"/>
    <row r="273" ht="8.4" customHeight="1"/>
    <row r="274" ht="8.4" customHeight="1"/>
    <row r="275" ht="8.4" customHeight="1"/>
    <row r="276" ht="8.4" customHeight="1"/>
    <row r="277" ht="8.4" customHeight="1"/>
    <row r="278" ht="8.4" customHeight="1"/>
    <row r="279" ht="8.4" customHeight="1"/>
    <row r="280" ht="8.4" customHeight="1"/>
    <row r="281" ht="8.4" customHeight="1"/>
    <row r="282" ht="8.4" customHeight="1"/>
    <row r="283" ht="8.4" customHeight="1"/>
    <row r="284" ht="8.4" customHeight="1"/>
    <row r="285" ht="8.4" customHeight="1"/>
    <row r="286" ht="8.4" customHeight="1"/>
    <row r="287" ht="8.4" customHeight="1"/>
    <row r="288" ht="8.4" customHeight="1"/>
    <row r="289" ht="8.4" customHeight="1"/>
    <row r="290" ht="8.4" customHeight="1"/>
    <row r="291" ht="8.4" customHeight="1"/>
    <row r="292" ht="8.4" customHeight="1"/>
    <row r="293" ht="8.4" customHeight="1"/>
    <row r="294" ht="8.4" customHeight="1"/>
    <row r="295" ht="8.4" customHeight="1"/>
    <row r="296" ht="8.4" customHeight="1"/>
    <row r="297" ht="8.4" customHeight="1"/>
    <row r="298" ht="8.4" customHeight="1"/>
    <row r="299" ht="8.4" customHeight="1"/>
    <row r="300" ht="8.4" customHeight="1"/>
    <row r="301" ht="8.4" customHeight="1"/>
    <row r="302" ht="8.4" customHeight="1"/>
    <row r="303" ht="8.4" customHeight="1"/>
    <row r="304" ht="8.4" customHeight="1"/>
    <row r="305" ht="8.4" customHeight="1"/>
    <row r="306" ht="8.4" customHeight="1"/>
    <row r="307" ht="8.4" customHeight="1"/>
    <row r="308" ht="8.4" customHeight="1"/>
    <row r="309" ht="8.4" customHeight="1"/>
    <row r="310" ht="8.4" customHeight="1"/>
    <row r="311" ht="8.4" customHeight="1"/>
    <row r="312" ht="8.4" customHeight="1"/>
    <row r="313" ht="8.4" customHeight="1"/>
    <row r="314" ht="8.4" customHeight="1"/>
    <row r="315" ht="8.4" customHeight="1"/>
    <row r="316" ht="8.4" customHeight="1"/>
    <row r="317" ht="8.4" customHeight="1"/>
    <row r="318" ht="8.4" customHeight="1"/>
    <row r="319" ht="8.4" customHeight="1"/>
    <row r="320" ht="8.4" customHeight="1"/>
    <row r="321" ht="8.4" customHeight="1"/>
    <row r="322" ht="8.4" customHeight="1"/>
    <row r="323" ht="8.4" customHeight="1"/>
    <row r="324" ht="8.4" customHeight="1"/>
    <row r="325" ht="8.4" customHeight="1"/>
    <row r="326" ht="8.4" customHeight="1"/>
    <row r="327" ht="8.4" customHeight="1"/>
    <row r="328" ht="8.4" customHeight="1"/>
    <row r="329" ht="8.4" customHeight="1"/>
    <row r="330" ht="8.4" customHeight="1"/>
    <row r="331" ht="8.4" customHeight="1"/>
    <row r="332" ht="8.4" customHeight="1"/>
    <row r="333" ht="8.4" customHeight="1"/>
    <row r="334" ht="8.4" customHeight="1"/>
    <row r="335" ht="8.4" customHeight="1"/>
    <row r="336" ht="8.4" customHeight="1"/>
    <row r="337" ht="8.4" customHeight="1"/>
    <row r="338" ht="8.4" customHeight="1"/>
    <row r="339" ht="8.4" customHeight="1"/>
    <row r="340" ht="8.4" customHeight="1"/>
    <row r="341" ht="8.4" customHeight="1"/>
    <row r="342" ht="8.4" customHeight="1"/>
    <row r="343" ht="8.4" customHeight="1"/>
    <row r="344" ht="8.4" customHeight="1"/>
    <row r="345" ht="8.4" customHeight="1"/>
    <row r="346" ht="8.4" customHeight="1"/>
    <row r="347" ht="8.4" customHeight="1"/>
    <row r="348" ht="8.4" customHeight="1"/>
    <row r="349" ht="8.4" customHeight="1"/>
    <row r="350" ht="8.4" customHeight="1"/>
    <row r="351" ht="8.4" customHeight="1"/>
    <row r="352" ht="8.4" customHeight="1"/>
    <row r="353" ht="8.4" customHeight="1"/>
    <row r="354" ht="8.4" customHeight="1"/>
    <row r="355" ht="8.4" customHeight="1"/>
    <row r="356" ht="8.4" customHeight="1"/>
    <row r="357" ht="8.4" customHeight="1"/>
    <row r="358" ht="8.4" customHeight="1"/>
    <row r="359" ht="8.4" customHeight="1"/>
    <row r="360" ht="8.4" customHeight="1"/>
    <row r="361" ht="8.4" customHeight="1"/>
    <row r="362" ht="8.4" customHeight="1"/>
    <row r="363" ht="8.4" customHeight="1"/>
    <row r="364" ht="8.4" customHeight="1"/>
    <row r="365" ht="8.4" customHeight="1"/>
    <row r="366" ht="8.4" customHeight="1"/>
    <row r="367" ht="8.4" customHeight="1"/>
    <row r="368" ht="8.4" customHeight="1"/>
    <row r="369" ht="8.4" customHeight="1"/>
  </sheetData>
  <pageMargins left="0.75" right="0.75" top="1" bottom="1" header="0.5" footer="0.5"/>
  <pageSetup paperSize="9" scale="99" orientation="portrait" r:id="rId1"/>
  <headerFooter alignWithMargins="0"/>
  <rowBreaks count="2" manualBreakCount="2">
    <brk id="67" max="16383" man="1"/>
    <brk id="11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48FA9-A0B8-4551-9C29-8557B9FDA575}">
  <dimension ref="A1:Q43"/>
  <sheetViews>
    <sheetView tabSelected="1" zoomScale="136" zoomScaleNormal="170" workbookViewId="0">
      <selection activeCell="H13" sqref="H13"/>
    </sheetView>
  </sheetViews>
  <sheetFormatPr defaultColWidth="9" defaultRowHeight="13.2"/>
  <cols>
    <col min="1" max="1" width="20.33203125" bestFit="1" customWidth="1"/>
    <col min="2" max="2" width="10.33203125" hidden="1" customWidth="1"/>
    <col min="3" max="3" width="11.33203125" hidden="1" customWidth="1"/>
    <col min="4" max="5" width="11.88671875" customWidth="1"/>
    <col min="6" max="6" width="5.5546875" customWidth="1"/>
    <col min="7" max="8" width="11.88671875" customWidth="1"/>
    <col min="9" max="9" width="5.5546875" hidden="1" customWidth="1"/>
    <col min="10" max="10" width="10.33203125" hidden="1" customWidth="1"/>
    <col min="11" max="11" width="10" hidden="1" customWidth="1"/>
    <col min="12" max="12" width="10.5546875" bestFit="1" customWidth="1"/>
    <col min="13" max="13" width="15.88671875" customWidth="1"/>
    <col min="14" max="14" width="7.44140625" customWidth="1"/>
    <col min="15" max="15" width="11.77734375" customWidth="1"/>
    <col min="16" max="16" width="9.21875" bestFit="1" customWidth="1"/>
  </cols>
  <sheetData>
    <row r="1" spans="1:17">
      <c r="A1" s="62"/>
      <c r="B1" s="63" t="s">
        <v>152</v>
      </c>
      <c r="C1" s="63" t="s">
        <v>152</v>
      </c>
      <c r="D1" s="63" t="s">
        <v>152</v>
      </c>
      <c r="E1" s="63" t="s">
        <v>152</v>
      </c>
      <c r="F1" s="63"/>
      <c r="G1" s="63" t="s">
        <v>152</v>
      </c>
      <c r="H1" s="63"/>
      <c r="I1" s="63"/>
      <c r="J1" s="44">
        <v>2025</v>
      </c>
      <c r="K1" s="44">
        <v>2026</v>
      </c>
      <c r="L1" s="44" t="s">
        <v>173</v>
      </c>
      <c r="M1" s="62"/>
      <c r="N1" s="95"/>
      <c r="O1" s="101">
        <v>0.05</v>
      </c>
    </row>
    <row r="2" spans="1:17" s="48" customFormat="1" ht="48.75" customHeight="1">
      <c r="A2" s="45"/>
      <c r="B2" s="46">
        <v>2021</v>
      </c>
      <c r="C2" s="46">
        <v>2022</v>
      </c>
      <c r="D2" s="46">
        <v>2023</v>
      </c>
      <c r="E2" s="46">
        <v>2024</v>
      </c>
      <c r="F2" s="61" t="s">
        <v>153</v>
      </c>
      <c r="G2" s="46">
        <v>2025</v>
      </c>
      <c r="H2" s="46">
        <v>2026</v>
      </c>
      <c r="I2" s="61" t="s">
        <v>166</v>
      </c>
      <c r="J2" s="47" t="s">
        <v>154</v>
      </c>
      <c r="K2" s="47" t="s">
        <v>154</v>
      </c>
      <c r="L2" s="46" t="s">
        <v>173</v>
      </c>
      <c r="M2" s="46" t="s">
        <v>174</v>
      </c>
      <c r="N2" s="61" t="s">
        <v>190</v>
      </c>
      <c r="O2" s="46" t="s">
        <v>191</v>
      </c>
      <c r="P2" s="109"/>
    </row>
    <row r="3" spans="1:17">
      <c r="A3" s="43" t="s">
        <v>155</v>
      </c>
      <c r="B3" s="49">
        <v>13959</v>
      </c>
      <c r="C3" s="55">
        <v>16578</v>
      </c>
      <c r="D3" s="55">
        <v>21230</v>
      </c>
      <c r="E3" s="49">
        <v>21900</v>
      </c>
      <c r="F3" s="50">
        <f>(E3-D3)/D3</f>
        <v>3.1559114460668863E-2</v>
      </c>
      <c r="G3" s="49">
        <v>22972</v>
      </c>
      <c r="H3" s="49">
        <v>23689</v>
      </c>
      <c r="I3" s="50">
        <f>(H3-G3)/G3</f>
        <v>3.1211910151488768E-2</v>
      </c>
      <c r="J3" s="50">
        <f>G3/$G$7</f>
        <v>0.38494537167370468</v>
      </c>
      <c r="K3" s="51">
        <f>H3/$H$7</f>
        <v>0.38223477208551837</v>
      </c>
      <c r="L3" s="106">
        <v>6560</v>
      </c>
      <c r="M3" s="107">
        <f>L3/3*12</f>
        <v>26240</v>
      </c>
      <c r="N3" s="108">
        <f>(M3-H3)/H3</f>
        <v>0.10768711216176284</v>
      </c>
      <c r="O3" s="111"/>
      <c r="P3" s="102"/>
      <c r="Q3" s="102"/>
    </row>
    <row r="4" spans="1:17">
      <c r="A4" s="43" t="s">
        <v>156</v>
      </c>
      <c r="B4" s="49">
        <v>17964</v>
      </c>
      <c r="C4" s="55">
        <v>19460</v>
      </c>
      <c r="D4" s="55">
        <v>21831</v>
      </c>
      <c r="E4" s="49">
        <f>12753+9412</f>
        <v>22165</v>
      </c>
      <c r="F4" s="50">
        <f>(E4-D4)/D4</f>
        <v>1.5299344968164536E-2</v>
      </c>
      <c r="G4" s="49">
        <f>13073+9168</f>
        <v>22241</v>
      </c>
      <c r="H4" s="49">
        <f>13684+9567</f>
        <v>23251</v>
      </c>
      <c r="I4" s="50">
        <f>(H4-G4)/G4</f>
        <v>4.5411627175037092E-2</v>
      </c>
      <c r="J4" s="50">
        <f>G4/$G$7</f>
        <v>0.37269589114551915</v>
      </c>
      <c r="K4" s="51">
        <f>H4/$H$7</f>
        <v>0.37516740621218231</v>
      </c>
      <c r="L4" s="106">
        <f>3721+2624</f>
        <v>6345</v>
      </c>
      <c r="M4" s="107">
        <f>L4/3*12</f>
        <v>25380</v>
      </c>
      <c r="N4" s="108">
        <f>(M4-H4)/H4</f>
        <v>9.1565954152509565E-2</v>
      </c>
      <c r="O4" s="111"/>
      <c r="P4" s="102"/>
      <c r="Q4" s="102"/>
    </row>
    <row r="5" spans="1:17">
      <c r="A5" s="43" t="s">
        <v>157</v>
      </c>
      <c r="B5" s="49">
        <v>13204</v>
      </c>
      <c r="C5" s="55">
        <v>14105</v>
      </c>
      <c r="D5" s="55">
        <v>14876</v>
      </c>
      <c r="E5" s="49">
        <v>15292</v>
      </c>
      <c r="F5" s="50">
        <f>(E5-D5)/D5</f>
        <v>2.7964506587792419E-2</v>
      </c>
      <c r="G5" s="49">
        <v>13501</v>
      </c>
      <c r="H5" s="49">
        <f>14061</f>
        <v>14061</v>
      </c>
      <c r="I5" s="50">
        <f>(H5-G5)/G5</f>
        <v>4.1478409006740241E-2</v>
      </c>
      <c r="J5" s="50">
        <f>G5/$G$7</f>
        <v>0.22623835377706281</v>
      </c>
      <c r="K5" s="51">
        <f>H5/$H$7</f>
        <v>0.22688180718031464</v>
      </c>
      <c r="L5" s="106">
        <v>3480</v>
      </c>
      <c r="M5" s="107">
        <f>L5/3*12</f>
        <v>13920</v>
      </c>
      <c r="N5" s="108">
        <f>(M5-H5)/H5</f>
        <v>-1.0027736291871132E-2</v>
      </c>
      <c r="O5" s="111"/>
      <c r="P5" s="102"/>
      <c r="Q5" s="102"/>
    </row>
    <row r="6" spans="1:17">
      <c r="A6" s="43" t="s">
        <v>158</v>
      </c>
      <c r="B6" s="49">
        <v>869</v>
      </c>
      <c r="C6" s="55">
        <v>1050</v>
      </c>
      <c r="D6" s="55">
        <v>1207</v>
      </c>
      <c r="E6" s="49">
        <v>1112</v>
      </c>
      <c r="F6" s="50">
        <f>(E6-D6)/D6</f>
        <v>-7.8707539353769673E-2</v>
      </c>
      <c r="G6" s="49">
        <v>962</v>
      </c>
      <c r="H6" s="49">
        <v>974</v>
      </c>
      <c r="I6" s="50">
        <f>(H6-G6)/G6</f>
        <v>1.2474012474012475E-2</v>
      </c>
      <c r="J6" s="50">
        <f>G6/$G$7</f>
        <v>1.6120383403713384E-2</v>
      </c>
      <c r="K6" s="51">
        <f>H6/$H$7</f>
        <v>1.5716014521984671E-2</v>
      </c>
      <c r="L6" s="106">
        <v>272</v>
      </c>
      <c r="M6" s="107">
        <f>L6/3*12</f>
        <v>1088</v>
      </c>
      <c r="N6" s="108">
        <f>(M6-H6)/H6</f>
        <v>0.11704312114989733</v>
      </c>
      <c r="O6" s="111"/>
      <c r="P6" s="102"/>
      <c r="Q6" s="102"/>
    </row>
    <row r="7" spans="1:17">
      <c r="A7" s="52" t="s">
        <v>159</v>
      </c>
      <c r="B7" s="53">
        <f>SUM(B3:B6)</f>
        <v>45996</v>
      </c>
      <c r="C7" s="53">
        <f>SUM(C3:C6)</f>
        <v>51193</v>
      </c>
      <c r="D7" s="53">
        <f>SUM(D3:D6)</f>
        <v>59144</v>
      </c>
      <c r="E7" s="54">
        <f>SUM(E3:E6)</f>
        <v>60469</v>
      </c>
      <c r="F7" s="50">
        <f>(E7-D7)/D7</f>
        <v>2.240294873529014E-2</v>
      </c>
      <c r="G7" s="53">
        <f>SUM(G3:G6)</f>
        <v>59676</v>
      </c>
      <c r="H7" s="53">
        <f>SUM(H3:H6)</f>
        <v>61975</v>
      </c>
      <c r="I7" s="50">
        <f>(H7-G7)/G7</f>
        <v>3.8524700046920032E-2</v>
      </c>
      <c r="J7" s="50">
        <f>G7/$G$7</f>
        <v>1</v>
      </c>
      <c r="K7" s="51">
        <f>H7/$H$7</f>
        <v>1</v>
      </c>
      <c r="L7" s="103">
        <f>SUM(L3:L6)</f>
        <v>16657</v>
      </c>
      <c r="M7" s="103">
        <f>SUM(M3:M6)</f>
        <v>66628</v>
      </c>
      <c r="N7" s="108">
        <f>(M7-H7)/H7</f>
        <v>7.5078660750302548E-2</v>
      </c>
      <c r="O7" s="110">
        <f>H7*(1+O1)</f>
        <v>65073.75</v>
      </c>
      <c r="P7" s="112">
        <v>65049</v>
      </c>
      <c r="Q7" s="104">
        <f>(P7-H7)/H7</f>
        <v>4.9600645421540947E-2</v>
      </c>
    </row>
    <row r="8" spans="1:17">
      <c r="L8" s="102"/>
      <c r="M8" s="105">
        <f>H7*(1+G41)</f>
        <v>65640.164226103501</v>
      </c>
      <c r="N8" s="102"/>
      <c r="O8" s="102"/>
      <c r="P8" s="102"/>
      <c r="Q8" s="102"/>
    </row>
    <row r="9" spans="1:17">
      <c r="A9" s="95" t="s">
        <v>194</v>
      </c>
      <c r="B9" s="95"/>
      <c r="C9" s="95"/>
      <c r="D9" s="95"/>
      <c r="E9" s="95"/>
      <c r="F9" s="95"/>
      <c r="G9" s="95"/>
      <c r="H9" s="95"/>
      <c r="I9" s="113"/>
      <c r="J9" s="113"/>
      <c r="K9" s="113"/>
      <c r="L9" s="113"/>
      <c r="M9" s="113"/>
    </row>
    <row r="10" spans="1:17">
      <c r="A10" s="95" t="s">
        <v>195</v>
      </c>
      <c r="B10" s="95"/>
      <c r="C10" s="95"/>
      <c r="D10" s="95"/>
      <c r="E10" s="95"/>
      <c r="F10" s="95"/>
      <c r="G10" s="114">
        <v>66628</v>
      </c>
      <c r="H10" s="115">
        <f>N7</f>
        <v>7.5078660750302548E-2</v>
      </c>
      <c r="I10" s="113"/>
      <c r="J10" s="113"/>
      <c r="K10" s="113"/>
      <c r="L10" s="113"/>
      <c r="M10" s="113"/>
    </row>
    <row r="11" spans="1:17">
      <c r="A11" s="95" t="s">
        <v>160</v>
      </c>
      <c r="B11" s="113"/>
      <c r="C11" s="113"/>
      <c r="D11" s="113"/>
      <c r="E11" s="113"/>
      <c r="F11" s="113"/>
      <c r="G11" s="114">
        <f>H7*(1+H11)</f>
        <v>65640.164226103501</v>
      </c>
      <c r="H11" s="115">
        <f>G41</f>
        <v>5.9139398565607015E-2</v>
      </c>
      <c r="I11" s="113"/>
      <c r="J11" s="113"/>
      <c r="K11" s="113"/>
      <c r="L11" s="113"/>
      <c r="M11" s="113"/>
    </row>
    <row r="12" spans="1:17">
      <c r="A12" s="95" t="s">
        <v>192</v>
      </c>
      <c r="B12" s="95"/>
      <c r="C12" s="95"/>
      <c r="D12" s="95"/>
      <c r="E12" s="95"/>
      <c r="F12" s="95"/>
      <c r="G12" s="114">
        <v>65049</v>
      </c>
      <c r="H12" s="115">
        <f>(G12-H7)/H7</f>
        <v>4.9600645421540947E-2</v>
      </c>
      <c r="I12" s="113"/>
      <c r="J12" s="113"/>
      <c r="K12" s="113"/>
      <c r="L12" s="113"/>
      <c r="M12" s="113"/>
    </row>
    <row r="13" spans="1:17">
      <c r="A13" s="95" t="s">
        <v>193</v>
      </c>
      <c r="B13" s="95"/>
      <c r="C13" s="95"/>
      <c r="D13" s="95"/>
      <c r="E13" s="95"/>
      <c r="F13" s="95"/>
      <c r="G13" s="114">
        <f>H7*(1+H13)</f>
        <v>65073.75</v>
      </c>
      <c r="H13" s="115">
        <v>0.05</v>
      </c>
      <c r="I13" s="113"/>
      <c r="J13" s="113"/>
      <c r="K13" s="113"/>
      <c r="L13" s="113"/>
      <c r="M13" s="113"/>
    </row>
    <row r="14" spans="1:17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</row>
    <row r="15" spans="1:17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</row>
    <row r="25" spans="1:7">
      <c r="A25" s="43"/>
      <c r="B25" s="43"/>
      <c r="C25" s="43"/>
      <c r="D25" s="52" t="s">
        <v>160</v>
      </c>
      <c r="E25" s="44"/>
      <c r="F25" s="43"/>
      <c r="G25" s="73" t="s">
        <v>189</v>
      </c>
    </row>
    <row r="26" spans="1:7">
      <c r="A26" s="72" t="s">
        <v>175</v>
      </c>
      <c r="B26" s="43"/>
      <c r="C26" s="43"/>
      <c r="D26" s="43"/>
      <c r="E26" s="44"/>
      <c r="F26" s="43"/>
      <c r="G26" s="100">
        <v>33891</v>
      </c>
    </row>
    <row r="27" spans="1:7">
      <c r="A27" s="72" t="s">
        <v>176</v>
      </c>
      <c r="B27" s="43"/>
      <c r="C27" s="43"/>
      <c r="D27" s="43"/>
      <c r="E27" s="44"/>
      <c r="F27" s="43"/>
      <c r="G27" s="100">
        <v>35061</v>
      </c>
    </row>
    <row r="28" spans="1:7">
      <c r="A28" s="72" t="s">
        <v>177</v>
      </c>
      <c r="B28" s="43"/>
      <c r="C28" s="43"/>
      <c r="D28" s="43"/>
      <c r="E28" s="44"/>
      <c r="F28" s="43"/>
      <c r="G28" s="100">
        <v>35571</v>
      </c>
    </row>
    <row r="29" spans="1:7">
      <c r="A29" s="72" t="s">
        <v>178</v>
      </c>
      <c r="B29" s="43"/>
      <c r="C29" s="43"/>
      <c r="D29" s="43"/>
      <c r="E29" s="44"/>
      <c r="F29" s="43"/>
      <c r="G29" s="100">
        <v>38684</v>
      </c>
    </row>
    <row r="30" spans="1:7">
      <c r="A30" s="72" t="s">
        <v>179</v>
      </c>
      <c r="B30" s="43"/>
      <c r="C30" s="43"/>
      <c r="D30" s="43"/>
      <c r="E30" s="44"/>
      <c r="F30" s="43"/>
      <c r="G30" s="100">
        <v>39238</v>
      </c>
    </row>
    <row r="31" spans="1:7">
      <c r="A31" s="72" t="s">
        <v>180</v>
      </c>
      <c r="B31" s="43"/>
      <c r="C31" s="43"/>
      <c r="D31" s="43"/>
      <c r="E31" s="44"/>
      <c r="F31" s="43"/>
      <c r="G31" s="100">
        <v>46321</v>
      </c>
    </row>
    <row r="32" spans="1:7">
      <c r="A32" s="72" t="s">
        <v>181</v>
      </c>
      <c r="B32" s="43"/>
      <c r="C32" s="43"/>
      <c r="D32" s="43"/>
      <c r="E32" s="44"/>
      <c r="F32" s="43"/>
      <c r="G32" s="100">
        <v>51548</v>
      </c>
    </row>
    <row r="33" spans="1:8">
      <c r="A33" s="72" t="s">
        <v>182</v>
      </c>
      <c r="B33" s="43"/>
      <c r="C33" s="43"/>
      <c r="D33" s="43"/>
      <c r="E33" s="44"/>
      <c r="F33" s="43"/>
      <c r="G33" s="100">
        <v>59549</v>
      </c>
    </row>
    <row r="34" spans="1:8">
      <c r="A34" s="72" t="s">
        <v>183</v>
      </c>
      <c r="B34" s="43"/>
      <c r="C34" s="43"/>
      <c r="D34" s="43"/>
      <c r="E34" s="44"/>
      <c r="F34" s="43"/>
      <c r="G34" s="100">
        <v>60966</v>
      </c>
    </row>
    <row r="35" spans="1:8">
      <c r="A35" s="72" t="s">
        <v>184</v>
      </c>
      <c r="B35" s="43"/>
      <c r="C35" s="43"/>
      <c r="D35" s="43"/>
      <c r="E35" s="44"/>
      <c r="F35" s="43"/>
      <c r="G35" s="100">
        <v>60573</v>
      </c>
    </row>
    <row r="36" spans="1:8">
      <c r="A36" s="72" t="s">
        <v>185</v>
      </c>
      <c r="B36" s="43"/>
      <c r="C36" s="43"/>
      <c r="D36" s="43"/>
      <c r="E36" s="44"/>
      <c r="F36" s="43"/>
      <c r="G36" s="100">
        <v>63763</v>
      </c>
    </row>
    <row r="37" spans="1:8">
      <c r="A37" s="62" t="s">
        <v>187</v>
      </c>
      <c r="B37" s="62"/>
      <c r="C37" s="62"/>
      <c r="D37" s="62"/>
      <c r="E37" s="72" t="s">
        <v>161</v>
      </c>
      <c r="F37" s="72"/>
      <c r="G37" s="62">
        <f>COUNT(G26:G36)</f>
        <v>11</v>
      </c>
    </row>
    <row r="38" spans="1:8">
      <c r="A38" s="62" t="s">
        <v>186</v>
      </c>
      <c r="B38" s="62"/>
      <c r="C38" s="62"/>
      <c r="D38" s="62"/>
      <c r="E38" s="98" t="s">
        <v>162</v>
      </c>
      <c r="F38" s="98"/>
      <c r="G38" s="96">
        <f>1/G37</f>
        <v>9.0909090909090912E-2</v>
      </c>
      <c r="H38" s="65"/>
    </row>
    <row r="39" spans="1:8">
      <c r="A39" s="62" t="s">
        <v>188</v>
      </c>
      <c r="B39" s="62"/>
      <c r="C39" s="62"/>
      <c r="D39" s="62"/>
      <c r="E39" s="72" t="s">
        <v>163</v>
      </c>
      <c r="F39" s="62"/>
      <c r="G39" s="96">
        <f>G36/G26</f>
        <v>1.8814139447050839</v>
      </c>
      <c r="H39" s="65"/>
    </row>
    <row r="40" spans="1:8">
      <c r="A40" s="62"/>
      <c r="B40" s="62"/>
      <c r="C40" s="62"/>
      <c r="D40" s="62"/>
      <c r="E40" s="98" t="s">
        <v>164</v>
      </c>
      <c r="F40" s="116"/>
      <c r="G40" s="96">
        <f>G39^G38</f>
        <v>1.059139398565607</v>
      </c>
      <c r="H40" s="65"/>
    </row>
    <row r="41" spans="1:8">
      <c r="A41" s="74" t="s">
        <v>160</v>
      </c>
      <c r="B41" s="74"/>
      <c r="C41" s="74"/>
      <c r="D41" s="74"/>
      <c r="E41" s="99" t="s">
        <v>165</v>
      </c>
      <c r="F41" s="117"/>
      <c r="G41" s="97">
        <f>G40-1</f>
        <v>5.9139398565607015E-2</v>
      </c>
      <c r="H41" s="66"/>
    </row>
    <row r="42" spans="1:8">
      <c r="E42" s="95"/>
    </row>
    <row r="43" spans="1:8">
      <c r="E43" s="95"/>
    </row>
  </sheetData>
  <phoneticPr fontId="17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Sample</vt:lpstr>
      <vt:lpstr>Sales</vt:lpstr>
      <vt:lpstr>Sample!Print_Area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Bineet Desai</cp:lastModifiedBy>
  <cp:lastPrinted>2025-09-04T02:48:57Z</cp:lastPrinted>
  <dcterms:created xsi:type="dcterms:W3CDTF">1996-10-14T23:33:28Z</dcterms:created>
  <dcterms:modified xsi:type="dcterms:W3CDTF">2026-09-24T11:41:41Z</dcterms:modified>
</cp:coreProperties>
</file>